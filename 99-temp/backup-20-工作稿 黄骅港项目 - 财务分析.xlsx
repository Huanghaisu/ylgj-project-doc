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0" l="1"/>
  <c r="E28" i="10" s="1"/>
  <c r="C14" i="10"/>
  <c r="E14" i="10" s="1"/>
  <c r="C8" i="10"/>
  <c r="E8" i="10" s="1"/>
  <c r="E7" i="10"/>
  <c r="C6" i="10"/>
  <c r="E6" i="10" s="1"/>
  <c r="C13" i="8"/>
  <c r="C12" i="8"/>
  <c r="C11" i="8"/>
  <c r="C10" i="8"/>
  <c r="C9" i="8"/>
  <c r="C8" i="8"/>
  <c r="C7" i="8"/>
  <c r="D19" i="7"/>
  <c r="D18" i="7"/>
  <c r="D17" i="7"/>
  <c r="D10" i="7"/>
  <c r="F37" i="6"/>
  <c r="D33" i="7" s="1"/>
  <c r="E37" i="6"/>
  <c r="D37" i="6"/>
  <c r="D36" i="6"/>
  <c r="D35" i="6"/>
  <c r="E34" i="6"/>
  <c r="D33" i="6"/>
  <c r="D32" i="6"/>
  <c r="D78" i="5"/>
  <c r="D45" i="6" s="1"/>
  <c r="D34" i="5"/>
  <c r="D35" i="5" s="1"/>
  <c r="D52" i="5" s="1"/>
  <c r="C29" i="5"/>
  <c r="C28" i="5"/>
  <c r="E11" i="4"/>
  <c r="F10" i="4"/>
  <c r="D10" i="4"/>
  <c r="H32" i="3"/>
  <c r="G32" i="3"/>
  <c r="F32" i="3"/>
  <c r="E32" i="3"/>
  <c r="F27" i="3"/>
  <c r="E27" i="3"/>
  <c r="H24" i="3"/>
  <c r="G24" i="3"/>
  <c r="D13" i="4" s="1"/>
  <c r="F19" i="3"/>
  <c r="H19" i="3" s="1"/>
  <c r="J19" i="3" s="1"/>
  <c r="E19" i="3"/>
  <c r="G19" i="3" s="1"/>
  <c r="I19" i="3" s="1"/>
  <c r="F18" i="3"/>
  <c r="E18" i="3"/>
  <c r="G13" i="3"/>
  <c r="G12" i="3"/>
  <c r="G11" i="3"/>
  <c r="H10" i="3"/>
  <c r="H9" i="3"/>
  <c r="E9" i="4" s="1"/>
  <c r="E8" i="3"/>
  <c r="G9" i="3" s="1"/>
  <c r="C40" i="2"/>
  <c r="C4" i="5" s="1"/>
  <c r="C25" i="2"/>
  <c r="C17" i="2"/>
  <c r="J14" i="3" s="1"/>
  <c r="G11" i="4" s="1"/>
  <c r="C16" i="2"/>
  <c r="C12" i="2"/>
  <c r="D6" i="4" s="1"/>
  <c r="C39" i="9"/>
  <c r="G38" i="9"/>
  <c r="C38" i="9"/>
  <c r="G37" i="9"/>
  <c r="F37" i="9"/>
  <c r="E37" i="9"/>
  <c r="D37" i="9"/>
  <c r="G36" i="9"/>
  <c r="F36" i="9"/>
  <c r="E36" i="9"/>
  <c r="D36" i="9"/>
  <c r="C34" i="9"/>
  <c r="C33" i="9"/>
  <c r="F26" i="9"/>
  <c r="G39" i="9" s="1"/>
  <c r="C14" i="9"/>
  <c r="C13" i="9"/>
  <c r="C12" i="9"/>
  <c r="C11" i="9"/>
  <c r="C10" i="9"/>
  <c r="C37" i="9" s="1"/>
  <c r="C9" i="9"/>
  <c r="C7" i="9"/>
  <c r="C35" i="9" l="1"/>
  <c r="E45" i="3"/>
  <c r="G8" i="9"/>
  <c r="F45" i="3"/>
  <c r="D7" i="8"/>
  <c r="I13" i="3"/>
  <c r="E20" i="3"/>
  <c r="G20" i="3" s="1"/>
  <c r="G21" i="3" s="1"/>
  <c r="F20" i="3"/>
  <c r="H20" i="3" s="1"/>
  <c r="H21" i="3" s="1"/>
  <c r="J21" i="3" s="1"/>
  <c r="G12" i="4" s="1"/>
  <c r="D8" i="8"/>
  <c r="F40" i="3"/>
  <c r="G28" i="3"/>
  <c r="I44" i="3" s="1"/>
  <c r="G7" i="9"/>
  <c r="C24" i="9"/>
  <c r="D34" i="9" s="1"/>
  <c r="D40" i="8"/>
  <c r="D11" i="8"/>
  <c r="D79" i="5"/>
  <c r="D12" i="8"/>
  <c r="G12" i="8" s="1"/>
  <c r="D26" i="5"/>
  <c r="D16" i="7" s="1"/>
  <c r="D80" i="5"/>
  <c r="D87" i="5" s="1"/>
  <c r="D13" i="8"/>
  <c r="D10" i="8"/>
  <c r="J32" i="3"/>
  <c r="G15" i="4" s="1"/>
  <c r="C17" i="8"/>
  <c r="D17" i="8" s="1"/>
  <c r="E34" i="3"/>
  <c r="C18" i="8"/>
  <c r="D18" i="8" s="1"/>
  <c r="F34" i="3"/>
  <c r="C20" i="8"/>
  <c r="D20" i="8" s="1"/>
  <c r="H20" i="8" s="1"/>
  <c r="G34" i="3"/>
  <c r="E47" i="3" s="1"/>
  <c r="C22" i="8"/>
  <c r="D22" i="8" s="1"/>
  <c r="E40" i="3"/>
  <c r="I12" i="3"/>
  <c r="D9" i="8"/>
  <c r="D36" i="5"/>
  <c r="D37" i="5" s="1"/>
  <c r="C42" i="2"/>
  <c r="C44" i="2" s="1"/>
  <c r="J40" i="3"/>
  <c r="I40" i="3"/>
  <c r="C23" i="8"/>
  <c r="D23" i="8" s="1"/>
  <c r="E10" i="4"/>
  <c r="D37" i="8"/>
  <c r="E25" i="5"/>
  <c r="E15" i="7" s="1"/>
  <c r="C39" i="8"/>
  <c r="H37" i="9"/>
  <c r="I45" i="3"/>
  <c r="D42" i="8"/>
  <c r="E13" i="5"/>
  <c r="F13" i="5" s="1"/>
  <c r="E26" i="9"/>
  <c r="F39" i="9" s="1"/>
  <c r="D15" i="4"/>
  <c r="C36" i="9"/>
  <c r="H36" i="9" s="1"/>
  <c r="J10" i="3"/>
  <c r="G10" i="4" s="1"/>
  <c r="G14" i="3"/>
  <c r="I11" i="3"/>
  <c r="D55" i="5"/>
  <c r="D34" i="6"/>
  <c r="I39" i="3"/>
  <c r="D9" i="4"/>
  <c r="E39" i="3"/>
  <c r="E53" i="5"/>
  <c r="I9" i="3"/>
  <c r="F9" i="4" s="1"/>
  <c r="C17" i="9"/>
  <c r="D24" i="9"/>
  <c r="E34" i="9" s="1"/>
  <c r="C41" i="2"/>
  <c r="D45" i="3" s="1"/>
  <c r="H33" i="3"/>
  <c r="J39" i="3"/>
  <c r="E15" i="5"/>
  <c r="E26" i="5"/>
  <c r="C41" i="8"/>
  <c r="I24" i="3"/>
  <c r="F13" i="4" s="1"/>
  <c r="C22" i="10" s="1"/>
  <c r="E22" i="10" s="1"/>
  <c r="E38" i="9"/>
  <c r="E24" i="9"/>
  <c r="F34" i="9" s="1"/>
  <c r="D9" i="5"/>
  <c r="E27" i="8"/>
  <c r="D41" i="8"/>
  <c r="F24" i="9"/>
  <c r="G34" i="9" s="1"/>
  <c r="E15" i="4"/>
  <c r="E9" i="5"/>
  <c r="D47" i="6"/>
  <c r="D39" i="8"/>
  <c r="D38" i="9"/>
  <c r="H18" i="3"/>
  <c r="J18" i="3" s="1"/>
  <c r="J24" i="3"/>
  <c r="G13" i="4" s="1"/>
  <c r="H34" i="3"/>
  <c r="D43" i="3"/>
  <c r="E43" i="3"/>
  <c r="F38" i="9"/>
  <c r="F43" i="3"/>
  <c r="J45" i="3"/>
  <c r="C37" i="8"/>
  <c r="C42" i="8"/>
  <c r="H28" i="3"/>
  <c r="C9" i="10"/>
  <c r="E9" i="10" s="1"/>
  <c r="C10" i="10" s="1"/>
  <c r="E10" i="10" s="1"/>
  <c r="C16" i="10" s="1"/>
  <c r="E16" i="10" s="1"/>
  <c r="G18" i="3"/>
  <c r="I18" i="3" s="1"/>
  <c r="C26" i="9"/>
  <c r="J9" i="3"/>
  <c r="G9" i="4" s="1"/>
  <c r="I43" i="3"/>
  <c r="F41" i="3"/>
  <c r="J43" i="3"/>
  <c r="C40" i="8"/>
  <c r="E6" i="4"/>
  <c r="E13" i="4"/>
  <c r="D25" i="5"/>
  <c r="C46" i="9"/>
  <c r="C21" i="8"/>
  <c r="D21" i="8" s="1"/>
  <c r="F39" i="3"/>
  <c r="J41" i="3"/>
  <c r="C38" i="8"/>
  <c r="C43" i="8"/>
  <c r="F6" i="4"/>
  <c r="C13" i="10" s="1"/>
  <c r="I32" i="3"/>
  <c r="F15" i="4" s="1"/>
  <c r="C24" i="10" s="1"/>
  <c r="E24" i="10" s="1"/>
  <c r="D38" i="8"/>
  <c r="D43" i="8"/>
  <c r="D26" i="9"/>
  <c r="E39" i="9" s="1"/>
  <c r="G33" i="3"/>
  <c r="C19" i="8"/>
  <c r="D19" i="8" s="1"/>
  <c r="D14" i="4" l="1"/>
  <c r="H45" i="3"/>
  <c r="I10" i="8"/>
  <c r="D24" i="5"/>
  <c r="D14" i="7" s="1"/>
  <c r="H39" i="8"/>
  <c r="G39" i="8"/>
  <c r="J42" i="3"/>
  <c r="E23" i="5"/>
  <c r="H23" i="5" s="1"/>
  <c r="H11" i="8"/>
  <c r="G42" i="8"/>
  <c r="D12" i="4"/>
  <c r="I21" i="3"/>
  <c r="F12" i="4" s="1"/>
  <c r="C21" i="10" s="1"/>
  <c r="E21" i="10" s="1"/>
  <c r="E20" i="6"/>
  <c r="H41" i="8"/>
  <c r="I28" i="3"/>
  <c r="F14" i="4" s="1"/>
  <c r="C23" i="10" s="1"/>
  <c r="E23" i="10" s="1"/>
  <c r="I11" i="8"/>
  <c r="H22" i="8"/>
  <c r="G8" i="8"/>
  <c r="C29" i="8"/>
  <c r="G7" i="8"/>
  <c r="I31" i="8"/>
  <c r="H37" i="8"/>
  <c r="E44" i="3"/>
  <c r="E12" i="4"/>
  <c r="F38" i="8"/>
  <c r="H28" i="8"/>
  <c r="I8" i="8"/>
  <c r="H18" i="8"/>
  <c r="H32" i="8"/>
  <c r="H31" i="8"/>
  <c r="G43" i="8"/>
  <c r="G31" i="8"/>
  <c r="E33" i="8"/>
  <c r="F37" i="8"/>
  <c r="H7" i="8"/>
  <c r="C27" i="8"/>
  <c r="E32" i="8"/>
  <c r="F41" i="8"/>
  <c r="F29" i="8"/>
  <c r="D33" i="8"/>
  <c r="I32" i="8"/>
  <c r="D23" i="5"/>
  <c r="E30" i="8"/>
  <c r="C30" i="8"/>
  <c r="H27" i="8"/>
  <c r="H33" i="8"/>
  <c r="D27" i="8"/>
  <c r="G10" i="8"/>
  <c r="F40" i="8"/>
  <c r="I30" i="8"/>
  <c r="F33" i="8"/>
  <c r="H10" i="8"/>
  <c r="E38" i="8"/>
  <c r="D32" i="8"/>
  <c r="C28" i="8"/>
  <c r="E29" i="8"/>
  <c r="H12" i="8"/>
  <c r="D81" i="5"/>
  <c r="F47" i="6" s="1"/>
  <c r="D36" i="7" s="1"/>
  <c r="H29" i="8"/>
  <c r="C31" i="8"/>
  <c r="I12" i="8"/>
  <c r="D42" i="3"/>
  <c r="E40" i="8"/>
  <c r="H40" i="3"/>
  <c r="H35" i="3"/>
  <c r="E18" i="4" s="1"/>
  <c r="H38" i="8"/>
  <c r="H9" i="8"/>
  <c r="G11" i="8"/>
  <c r="E31" i="8"/>
  <c r="F42" i="3"/>
  <c r="E22" i="8"/>
  <c r="F22" i="8" s="1"/>
  <c r="D31" i="8"/>
  <c r="G33" i="8"/>
  <c r="I42" i="3"/>
  <c r="H42" i="8"/>
  <c r="H8" i="8"/>
  <c r="G37" i="8"/>
  <c r="E28" i="8"/>
  <c r="H30" i="8"/>
  <c r="G27" i="8"/>
  <c r="G40" i="8"/>
  <c r="I27" i="8"/>
  <c r="F30" i="8"/>
  <c r="I29" i="8"/>
  <c r="I28" i="8"/>
  <c r="G17" i="8"/>
  <c r="E41" i="8"/>
  <c r="G38" i="8"/>
  <c r="F42" i="8"/>
  <c r="I7" i="8"/>
  <c r="E42" i="3"/>
  <c r="E39" i="8"/>
  <c r="H34" i="9"/>
  <c r="G13" i="8"/>
  <c r="F27" i="8"/>
  <c r="G30" i="8"/>
  <c r="E43" i="8"/>
  <c r="G41" i="8"/>
  <c r="I23" i="8"/>
  <c r="G32" i="8"/>
  <c r="E47" i="6"/>
  <c r="D28" i="8"/>
  <c r="E42" i="8"/>
  <c r="H43" i="8"/>
  <c r="I33" i="8"/>
  <c r="H40" i="8"/>
  <c r="E37" i="8"/>
  <c r="F39" i="8"/>
  <c r="F43" i="8"/>
  <c r="C32" i="8"/>
  <c r="F31" i="8"/>
  <c r="F28" i="8"/>
  <c r="F32" i="8"/>
  <c r="D29" i="8"/>
  <c r="G28" i="8"/>
  <c r="C33" i="8"/>
  <c r="G29" i="8"/>
  <c r="D30" i="8"/>
  <c r="D39" i="3"/>
  <c r="I22" i="8"/>
  <c r="H42" i="3"/>
  <c r="G20" i="8"/>
  <c r="C44" i="3"/>
  <c r="I20" i="8"/>
  <c r="E46" i="6"/>
  <c r="C47" i="3"/>
  <c r="G44" i="3"/>
  <c r="H43" i="3"/>
  <c r="G22" i="8"/>
  <c r="C42" i="3"/>
  <c r="H19" i="6"/>
  <c r="I9" i="8"/>
  <c r="I18" i="8"/>
  <c r="H11" i="6"/>
  <c r="E41" i="3"/>
  <c r="I17" i="8"/>
  <c r="G9" i="8"/>
  <c r="I14" i="3"/>
  <c r="F11" i="4" s="1"/>
  <c r="C20" i="10" s="1"/>
  <c r="E20" i="10" s="1"/>
  <c r="H39" i="3"/>
  <c r="H17" i="8"/>
  <c r="C43" i="3"/>
  <c r="G47" i="3"/>
  <c r="G39" i="3"/>
  <c r="D11" i="4"/>
  <c r="H13" i="8"/>
  <c r="E20" i="8"/>
  <c r="F20" i="8" s="1"/>
  <c r="G18" i="8"/>
  <c r="I34" i="3"/>
  <c r="F17" i="4" s="1"/>
  <c r="C26" i="10" s="1"/>
  <c r="E26" i="10" s="1"/>
  <c r="D17" i="4"/>
  <c r="G42" i="3"/>
  <c r="I13" i="8"/>
  <c r="D82" i="5"/>
  <c r="G82" i="5" s="1"/>
  <c r="G35" i="3"/>
  <c r="E12" i="8" s="1"/>
  <c r="F12" i="8" s="1"/>
  <c r="I47" i="3"/>
  <c r="G23" i="8"/>
  <c r="E17" i="8"/>
  <c r="F17" i="8" s="1"/>
  <c r="C40" i="9"/>
  <c r="C41" i="9" s="1"/>
  <c r="H23" i="8"/>
  <c r="C41" i="3"/>
  <c r="I41" i="3"/>
  <c r="H38" i="9"/>
  <c r="E18" i="8"/>
  <c r="F18" i="8" s="1"/>
  <c r="E23" i="8"/>
  <c r="F23" i="8" s="1"/>
  <c r="E54" i="5"/>
  <c r="H34" i="6" s="1"/>
  <c r="G41" i="3"/>
  <c r="G6" i="4"/>
  <c r="D47" i="3"/>
  <c r="E17" i="4"/>
  <c r="J34" i="3"/>
  <c r="G17" i="4" s="1"/>
  <c r="J47" i="3"/>
  <c r="H47" i="3"/>
  <c r="F47" i="3"/>
  <c r="E16" i="7"/>
  <c r="H20" i="6"/>
  <c r="F26" i="5"/>
  <c r="H24" i="9"/>
  <c r="I37" i="6"/>
  <c r="E33" i="7" s="1"/>
  <c r="H37" i="6"/>
  <c r="G37" i="6"/>
  <c r="G36" i="6"/>
  <c r="F53" i="5"/>
  <c r="G35" i="6"/>
  <c r="E18" i="7"/>
  <c r="G32" i="6"/>
  <c r="H41" i="3"/>
  <c r="D41" i="3"/>
  <c r="G45" i="3"/>
  <c r="G40" i="3"/>
  <c r="D40" i="3"/>
  <c r="C43" i="2"/>
  <c r="C45" i="3"/>
  <c r="C40" i="3"/>
  <c r="C39" i="3"/>
  <c r="I46" i="3"/>
  <c r="G46" i="3"/>
  <c r="C46" i="3"/>
  <c r="D45" i="5"/>
  <c r="G45" i="5" s="1"/>
  <c r="E46" i="3"/>
  <c r="D16" i="4"/>
  <c r="I33" i="3"/>
  <c r="F16" i="4" s="1"/>
  <c r="C25" i="10" s="1"/>
  <c r="E25" i="10" s="1"/>
  <c r="H25" i="5"/>
  <c r="G15" i="6"/>
  <c r="H53" i="5"/>
  <c r="H13" i="5"/>
  <c r="E12" i="5"/>
  <c r="H12" i="5" s="1"/>
  <c r="H9" i="5"/>
  <c r="G9" i="6"/>
  <c r="H26" i="5"/>
  <c r="H15" i="5"/>
  <c r="F9" i="5"/>
  <c r="E8" i="7"/>
  <c r="H8" i="6"/>
  <c r="G8" i="6"/>
  <c r="H13" i="6"/>
  <c r="E34" i="5"/>
  <c r="E10" i="7"/>
  <c r="F15" i="5"/>
  <c r="G24" i="9"/>
  <c r="D15" i="7"/>
  <c r="E19" i="6"/>
  <c r="J46" i="3"/>
  <c r="H46" i="3"/>
  <c r="E45" i="5"/>
  <c r="F46" i="3"/>
  <c r="D46" i="3"/>
  <c r="E16" i="4"/>
  <c r="J33" i="3"/>
  <c r="G16" i="4" s="1"/>
  <c r="D8" i="6"/>
  <c r="G36" i="5"/>
  <c r="G87" i="5"/>
  <c r="G53" i="5"/>
  <c r="G13" i="5"/>
  <c r="G54" i="5"/>
  <c r="G25" i="5"/>
  <c r="D15" i="6"/>
  <c r="G35" i="5"/>
  <c r="G80" i="5"/>
  <c r="G24" i="5"/>
  <c r="G52" i="5"/>
  <c r="G34" i="5"/>
  <c r="G79" i="5"/>
  <c r="D12" i="5"/>
  <c r="G37" i="5"/>
  <c r="G9" i="5"/>
  <c r="D9" i="6"/>
  <c r="G78" i="5"/>
  <c r="G55" i="5"/>
  <c r="G26" i="5"/>
  <c r="G15" i="5"/>
  <c r="D8" i="7"/>
  <c r="E8" i="6"/>
  <c r="F25" i="5"/>
  <c r="I19" i="8"/>
  <c r="H19" i="8"/>
  <c r="G19" i="8"/>
  <c r="J19" i="8" s="1"/>
  <c r="E19" i="8"/>
  <c r="F19" i="8" s="1"/>
  <c r="E13" i="10"/>
  <c r="C15" i="10" s="1"/>
  <c r="E15" i="10" s="1"/>
  <c r="E14" i="4"/>
  <c r="H44" i="3"/>
  <c r="F44" i="3"/>
  <c r="D44" i="3"/>
  <c r="J28" i="3"/>
  <c r="G14" i="4" s="1"/>
  <c r="E24" i="5"/>
  <c r="J44" i="3"/>
  <c r="G21" i="8"/>
  <c r="E21" i="8"/>
  <c r="F21" i="8" s="1"/>
  <c r="I21" i="8"/>
  <c r="H21" i="8"/>
  <c r="F34" i="6"/>
  <c r="D56" i="5"/>
  <c r="G56" i="5" s="1"/>
  <c r="G43" i="3"/>
  <c r="D39" i="9"/>
  <c r="H39" i="9" s="1"/>
  <c r="G26" i="9"/>
  <c r="H26" i="9"/>
  <c r="I42" i="8" l="1"/>
  <c r="I40" i="8"/>
  <c r="F23" i="5"/>
  <c r="D70" i="5"/>
  <c r="D72" i="5" s="1"/>
  <c r="G72" i="5" s="1"/>
  <c r="H17" i="6"/>
  <c r="E63" i="5"/>
  <c r="G38" i="6" s="1"/>
  <c r="E13" i="7"/>
  <c r="E18" i="6"/>
  <c r="I39" i="8"/>
  <c r="H34" i="5"/>
  <c r="C15" i="9"/>
  <c r="J12" i="8"/>
  <c r="I43" i="8"/>
  <c r="J22" i="8"/>
  <c r="I38" i="8"/>
  <c r="J11" i="8"/>
  <c r="I41" i="8"/>
  <c r="J10" i="8"/>
  <c r="I37" i="8"/>
  <c r="J8" i="8"/>
  <c r="J20" i="8"/>
  <c r="J35" i="3"/>
  <c r="G18" i="4" s="1"/>
  <c r="G21" i="4" s="1"/>
  <c r="J17" i="8"/>
  <c r="J7" i="8"/>
  <c r="J9" i="8"/>
  <c r="G81" i="5"/>
  <c r="E17" i="6"/>
  <c r="D63" i="5"/>
  <c r="D38" i="6" s="1"/>
  <c r="E48" i="3"/>
  <c r="D13" i="7"/>
  <c r="E14" i="5"/>
  <c r="H14" i="5" s="1"/>
  <c r="J13" i="8"/>
  <c r="G23" i="5"/>
  <c r="I48" i="3"/>
  <c r="J18" i="8"/>
  <c r="E8" i="8"/>
  <c r="F8" i="8" s="1"/>
  <c r="J23" i="8"/>
  <c r="E13" i="8"/>
  <c r="F13" i="8" s="1"/>
  <c r="H54" i="5"/>
  <c r="J21" i="8"/>
  <c r="E10" i="8"/>
  <c r="F10" i="8" s="1"/>
  <c r="H48" i="3"/>
  <c r="I35" i="3"/>
  <c r="F18" i="4" s="1"/>
  <c r="F21" i="4" s="1"/>
  <c r="F23" i="4" s="1"/>
  <c r="E9" i="8"/>
  <c r="F9" i="8" s="1"/>
  <c r="D18" i="4"/>
  <c r="D21" i="4" s="1"/>
  <c r="E7" i="8"/>
  <c r="F7" i="8" s="1"/>
  <c r="E11" i="8"/>
  <c r="F11" i="8" s="1"/>
  <c r="J48" i="3"/>
  <c r="E78" i="5"/>
  <c r="H78" i="5" s="1"/>
  <c r="G48" i="3"/>
  <c r="F48" i="3"/>
  <c r="E19" i="7"/>
  <c r="G33" i="6"/>
  <c r="F54" i="5"/>
  <c r="C16" i="9"/>
  <c r="C22" i="9" s="1"/>
  <c r="D48" i="3"/>
  <c r="D17" i="5"/>
  <c r="E10" i="6"/>
  <c r="F45" i="5"/>
  <c r="H25" i="6"/>
  <c r="H24" i="6"/>
  <c r="C27" i="10"/>
  <c r="E27" i="10" s="1"/>
  <c r="C29" i="10" s="1"/>
  <c r="E29" i="10" s="1"/>
  <c r="C17" i="10"/>
  <c r="E17" i="10" s="1"/>
  <c r="E17" i="5"/>
  <c r="F12" i="5"/>
  <c r="H10" i="6"/>
  <c r="C45" i="2"/>
  <c r="C46" i="2"/>
  <c r="E36" i="5"/>
  <c r="E35" i="5"/>
  <c r="F34" i="5"/>
  <c r="G26" i="6"/>
  <c r="E70" i="5"/>
  <c r="E14" i="7"/>
  <c r="F24" i="5"/>
  <c r="H18" i="6"/>
  <c r="D45" i="7"/>
  <c r="D32" i="7"/>
  <c r="E29" i="4"/>
  <c r="E28" i="4"/>
  <c r="E31" i="4" s="1"/>
  <c r="E27" i="4"/>
  <c r="E30" i="4" s="1"/>
  <c r="E21" i="4"/>
  <c r="E24" i="6"/>
  <c r="E25" i="6"/>
  <c r="C48" i="3"/>
  <c r="H45" i="5"/>
  <c r="G12" i="5"/>
  <c r="D14" i="5"/>
  <c r="H24" i="5"/>
  <c r="D71" i="5" l="1"/>
  <c r="G71" i="5" s="1"/>
  <c r="F14" i="5"/>
  <c r="G27" i="6"/>
  <c r="D42" i="6"/>
  <c r="G70" i="5"/>
  <c r="E65" i="5"/>
  <c r="E66" i="5"/>
  <c r="D86" i="5"/>
  <c r="G86" i="5" s="1"/>
  <c r="D44" i="6"/>
  <c r="H63" i="5"/>
  <c r="G41" i="6"/>
  <c r="E64" i="5"/>
  <c r="E20" i="7" s="1"/>
  <c r="E11" i="7"/>
  <c r="H12" i="6"/>
  <c r="F63" i="5"/>
  <c r="D73" i="5"/>
  <c r="G73" i="5" s="1"/>
  <c r="G63" i="5"/>
  <c r="D41" i="6"/>
  <c r="D64" i="5"/>
  <c r="E39" i="6" s="1"/>
  <c r="D66" i="5"/>
  <c r="F41" i="6" s="1"/>
  <c r="D34" i="7" s="1"/>
  <c r="F22" i="9"/>
  <c r="D65" i="5"/>
  <c r="E40" i="6" s="1"/>
  <c r="E16" i="5"/>
  <c r="H15" i="6" s="1"/>
  <c r="D74" i="5"/>
  <c r="G74" i="5" s="1"/>
  <c r="F22" i="4"/>
  <c r="D27" i="4"/>
  <c r="D30" i="4" s="1"/>
  <c r="D28" i="4"/>
  <c r="D31" i="4" s="1"/>
  <c r="D29" i="4"/>
  <c r="E44" i="6"/>
  <c r="E43" i="6"/>
  <c r="E79" i="5"/>
  <c r="G47" i="6"/>
  <c r="F78" i="5"/>
  <c r="G45" i="6"/>
  <c r="E80" i="5"/>
  <c r="F80" i="5" s="1"/>
  <c r="E22" i="9"/>
  <c r="D22" i="9"/>
  <c r="G44" i="6"/>
  <c r="F70" i="5"/>
  <c r="G42" i="6"/>
  <c r="E72" i="5"/>
  <c r="E71" i="5"/>
  <c r="H70" i="5"/>
  <c r="F35" i="5"/>
  <c r="H30" i="6"/>
  <c r="G29" i="6"/>
  <c r="E52" i="5"/>
  <c r="E37" i="5"/>
  <c r="E17" i="7"/>
  <c r="H35" i="5"/>
  <c r="C47" i="2"/>
  <c r="D23" i="4"/>
  <c r="D24" i="4" s="1"/>
  <c r="D22" i="4"/>
  <c r="G23" i="4"/>
  <c r="G22" i="4"/>
  <c r="D21" i="9"/>
  <c r="C21" i="9"/>
  <c r="E21" i="9"/>
  <c r="F21" i="9"/>
  <c r="D16" i="5"/>
  <c r="E15" i="6" s="1"/>
  <c r="E23" i="4"/>
  <c r="E22" i="4"/>
  <c r="F36" i="5"/>
  <c r="H36" i="5"/>
  <c r="D27" i="6"/>
  <c r="E12" i="6"/>
  <c r="D11" i="7"/>
  <c r="G14" i="5"/>
  <c r="I15" i="6"/>
  <c r="E28" i="7" s="1"/>
  <c r="F17" i="5"/>
  <c r="H17" i="5"/>
  <c r="F15" i="6"/>
  <c r="D28" i="7" s="1"/>
  <c r="G17" i="5"/>
  <c r="H64" i="5" l="1"/>
  <c r="H39" i="6"/>
  <c r="E87" i="5"/>
  <c r="F87" i="5" s="1"/>
  <c r="H14" i="6"/>
  <c r="F66" i="5"/>
  <c r="D20" i="7"/>
  <c r="E22" i="5"/>
  <c r="G22" i="6" s="1"/>
  <c r="E67" i="5"/>
  <c r="H67" i="5" s="1"/>
  <c r="E41" i="6"/>
  <c r="F23" i="9"/>
  <c r="F25" i="9" s="1"/>
  <c r="F27" i="9" s="1"/>
  <c r="F28" i="9" s="1"/>
  <c r="F29" i="9" s="1"/>
  <c r="G33" i="9" s="1"/>
  <c r="G35" i="9" s="1"/>
  <c r="G40" i="9" s="1"/>
  <c r="E73" i="5"/>
  <c r="I44" i="6" s="1"/>
  <c r="E35" i="7" s="1"/>
  <c r="H66" i="5"/>
  <c r="I41" i="6"/>
  <c r="E34" i="7" s="1"/>
  <c r="H65" i="5"/>
  <c r="E85" i="5"/>
  <c r="F64" i="5"/>
  <c r="H40" i="6"/>
  <c r="H41" i="6"/>
  <c r="E81" i="5"/>
  <c r="F81" i="5" s="1"/>
  <c r="D85" i="5"/>
  <c r="D88" i="5" s="1"/>
  <c r="F44" i="6"/>
  <c r="D35" i="7" s="1"/>
  <c r="G66" i="5"/>
  <c r="F65" i="5"/>
  <c r="G64" i="5"/>
  <c r="G65" i="5"/>
  <c r="E9" i="7"/>
  <c r="H46" i="6"/>
  <c r="F79" i="5"/>
  <c r="E18" i="5"/>
  <c r="H18" i="5" s="1"/>
  <c r="H16" i="5"/>
  <c r="H47" i="6"/>
  <c r="D67" i="5"/>
  <c r="G67" i="5" s="1"/>
  <c r="H79" i="5"/>
  <c r="H80" i="5"/>
  <c r="E82" i="5"/>
  <c r="H82" i="5" s="1"/>
  <c r="G22" i="9"/>
  <c r="E23" i="9"/>
  <c r="E25" i="9" s="1"/>
  <c r="E27" i="9" s="1"/>
  <c r="E28" i="9" s="1"/>
  <c r="E29" i="9" s="1"/>
  <c r="F33" i="9" s="1"/>
  <c r="F35" i="9" s="1"/>
  <c r="F40" i="9" s="1"/>
  <c r="D23" i="9"/>
  <c r="D25" i="9" s="1"/>
  <c r="D27" i="9" s="1"/>
  <c r="D28" i="9" s="1"/>
  <c r="D29" i="9" s="1"/>
  <c r="E33" i="9" s="1"/>
  <c r="E35" i="9" s="1"/>
  <c r="E40" i="9" s="1"/>
  <c r="H22" i="9"/>
  <c r="E86" i="5"/>
  <c r="F72" i="5"/>
  <c r="H72" i="5"/>
  <c r="F37" i="5"/>
  <c r="H37" i="5"/>
  <c r="G31" i="6"/>
  <c r="F52" i="5"/>
  <c r="G34" i="6"/>
  <c r="E55" i="5"/>
  <c r="H52" i="5"/>
  <c r="D22" i="5"/>
  <c r="E14" i="6"/>
  <c r="D9" i="7"/>
  <c r="G16" i="5"/>
  <c r="F16" i="5"/>
  <c r="F22" i="5" s="1"/>
  <c r="H44" i="6"/>
  <c r="E74" i="5"/>
  <c r="H43" i="6"/>
  <c r="F71" i="5"/>
  <c r="H71" i="5"/>
  <c r="C23" i="9"/>
  <c r="G21" i="9"/>
  <c r="H21" i="9"/>
  <c r="G9" i="9"/>
  <c r="D18" i="5"/>
  <c r="H22" i="5" l="1"/>
  <c r="G16" i="6"/>
  <c r="F73" i="5"/>
  <c r="H81" i="5"/>
  <c r="I47" i="6"/>
  <c r="E36" i="7" s="1"/>
  <c r="H87" i="5"/>
  <c r="G85" i="5"/>
  <c r="H73" i="5"/>
  <c r="F85" i="5"/>
  <c r="H85" i="5"/>
  <c r="E27" i="5"/>
  <c r="E29" i="5" s="1"/>
  <c r="I22" i="6" s="1"/>
  <c r="F67" i="5"/>
  <c r="H27" i="5"/>
  <c r="E28" i="5"/>
  <c r="E12" i="7" s="1"/>
  <c r="F82" i="5"/>
  <c r="D50" i="6"/>
  <c r="D90" i="5"/>
  <c r="D21" i="7"/>
  <c r="D89" i="5"/>
  <c r="D48" i="6"/>
  <c r="G88" i="5"/>
  <c r="F86" i="5"/>
  <c r="H86" i="5"/>
  <c r="D16" i="6"/>
  <c r="D22" i="6"/>
  <c r="D27" i="5"/>
  <c r="G22" i="5"/>
  <c r="G23" i="9"/>
  <c r="H23" i="9"/>
  <c r="C25" i="9"/>
  <c r="I34" i="6"/>
  <c r="F55" i="5"/>
  <c r="J40" i="8"/>
  <c r="J37" i="8"/>
  <c r="J42" i="8"/>
  <c r="J38" i="8"/>
  <c r="H55" i="5"/>
  <c r="J43" i="8"/>
  <c r="J41" i="8"/>
  <c r="J39" i="8"/>
  <c r="E56" i="5"/>
  <c r="F74" i="5"/>
  <c r="H74" i="5"/>
  <c r="G18" i="5"/>
  <c r="F18" i="5"/>
  <c r="E88" i="5"/>
  <c r="H29" i="5" l="1"/>
  <c r="H22" i="6"/>
  <c r="E30" i="5"/>
  <c r="H28" i="5"/>
  <c r="E44" i="5"/>
  <c r="G23" i="6" s="1"/>
  <c r="H21" i="6"/>
  <c r="H30" i="5"/>
  <c r="D29" i="5"/>
  <c r="D28" i="5"/>
  <c r="G27" i="5"/>
  <c r="F27" i="5"/>
  <c r="F56" i="5"/>
  <c r="H56" i="5"/>
  <c r="F50" i="6"/>
  <c r="G90" i="5"/>
  <c r="E29" i="7"/>
  <c r="E44" i="7"/>
  <c r="E45" i="7"/>
  <c r="E32" i="7"/>
  <c r="C27" i="9"/>
  <c r="H25" i="9"/>
  <c r="G25" i="9"/>
  <c r="E49" i="6"/>
  <c r="E50" i="6"/>
  <c r="D91" i="5"/>
  <c r="G91" i="5" s="1"/>
  <c r="D28" i="6"/>
  <c r="D22" i="7"/>
  <c r="G89" i="5"/>
  <c r="D30" i="6"/>
  <c r="F30" i="6"/>
  <c r="D31" i="7" s="1"/>
  <c r="G50" i="6"/>
  <c r="G48" i="6"/>
  <c r="E90" i="5"/>
  <c r="E21" i="7"/>
  <c r="E89" i="5"/>
  <c r="F88" i="5"/>
  <c r="H88" i="5"/>
  <c r="H44" i="5" l="1"/>
  <c r="G25" i="6"/>
  <c r="E46" i="5"/>
  <c r="H50" i="6"/>
  <c r="E91" i="5"/>
  <c r="H49" i="6"/>
  <c r="G28" i="6"/>
  <c r="E22" i="7"/>
  <c r="F89" i="5"/>
  <c r="H89" i="5"/>
  <c r="G30" i="6"/>
  <c r="I30" i="6"/>
  <c r="E31" i="7" s="1"/>
  <c r="F90" i="5"/>
  <c r="I50" i="6"/>
  <c r="H90" i="5"/>
  <c r="H27" i="9"/>
  <c r="G27" i="9"/>
  <c r="C28" i="9"/>
  <c r="D37" i="7"/>
  <c r="D46" i="7"/>
  <c r="D12" i="7"/>
  <c r="E21" i="6"/>
  <c r="D44" i="5"/>
  <c r="C32" i="10"/>
  <c r="E32" i="10" s="1"/>
  <c r="D30" i="5"/>
  <c r="E22" i="6"/>
  <c r="G28" i="5"/>
  <c r="F28" i="5"/>
  <c r="F22" i="6"/>
  <c r="G29" i="5"/>
  <c r="F29" i="5"/>
  <c r="I25" i="6"/>
  <c r="E30" i="7" s="1"/>
  <c r="H46" i="5"/>
  <c r="E47" i="5"/>
  <c r="D44" i="7" l="1"/>
  <c r="D47" i="7" s="1"/>
  <c r="D29" i="7"/>
  <c r="G30" i="5"/>
  <c r="F30" i="5"/>
  <c r="H47" i="5"/>
  <c r="G28" i="9"/>
  <c r="H28" i="9"/>
  <c r="C29" i="9"/>
  <c r="E37" i="7"/>
  <c r="E38" i="7" s="1"/>
  <c r="E46" i="7"/>
  <c r="E47" i="7" s="1"/>
  <c r="C33" i="10"/>
  <c r="E33" i="10" s="1"/>
  <c r="C34" i="10"/>
  <c r="E34" i="10" s="1"/>
  <c r="C35" i="10" s="1"/>
  <c r="E35" i="10" s="1"/>
  <c r="D23" i="6"/>
  <c r="D46" i="5"/>
  <c r="D25" i="6"/>
  <c r="G44" i="5"/>
  <c r="F44" i="5"/>
  <c r="F91" i="5"/>
  <c r="H91" i="5"/>
  <c r="C36" i="10" l="1"/>
  <c r="E36" i="10" s="1"/>
  <c r="C37" i="10" s="1"/>
  <c r="G34" i="7"/>
  <c r="G29" i="7"/>
  <c r="G33" i="7"/>
  <c r="G28" i="7"/>
  <c r="G37" i="7"/>
  <c r="G32" i="7"/>
  <c r="G36" i="7"/>
  <c r="G31" i="7"/>
  <c r="G35" i="7"/>
  <c r="G30" i="7"/>
  <c r="F45" i="7"/>
  <c r="F44" i="7"/>
  <c r="F46" i="7"/>
  <c r="F25" i="6"/>
  <c r="D30" i="7" s="1"/>
  <c r="D38" i="7" s="1"/>
  <c r="G46" i="5"/>
  <c r="D47" i="5"/>
  <c r="F46" i="5"/>
  <c r="G44" i="7"/>
  <c r="G46" i="7"/>
  <c r="G45" i="7"/>
  <c r="G29" i="9"/>
  <c r="D33" i="9"/>
  <c r="H29" i="9"/>
  <c r="G10" i="9"/>
  <c r="E37" i="10" l="1"/>
  <c r="F33" i="7"/>
  <c r="F34" i="7"/>
  <c r="F29" i="7"/>
  <c r="F28" i="7"/>
  <c r="F37" i="7"/>
  <c r="F32" i="7"/>
  <c r="F36" i="7"/>
  <c r="F31" i="7"/>
  <c r="F35" i="7"/>
  <c r="F30" i="7"/>
  <c r="D35" i="9"/>
  <c r="H33" i="9"/>
  <c r="G12" i="9"/>
  <c r="C47" i="9"/>
  <c r="G11" i="9"/>
  <c r="C45" i="9"/>
  <c r="G47" i="5"/>
  <c r="F47" i="5"/>
  <c r="C38" i="10" l="1"/>
  <c r="E38" i="10" s="1"/>
  <c r="C39" i="10"/>
  <c r="D40" i="9"/>
  <c r="H35" i="9"/>
  <c r="E39" i="10" l="1"/>
  <c r="C49" i="9"/>
  <c r="G14" i="9"/>
  <c r="C48" i="9"/>
  <c r="G13" i="9"/>
  <c r="H40" i="9"/>
  <c r="D41" i="9"/>
  <c r="E41" i="9" l="1"/>
  <c r="F41" i="9" s="1"/>
  <c r="G41" i="9" s="1"/>
  <c r="H41" i="9" s="1"/>
  <c r="C50" i="9" l="1"/>
  <c r="G1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<sst xmlns="http://schemas.openxmlformats.org/spreadsheetml/2006/main" count="1309" uniqueCount="1002">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</sst>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G39"/>
  <sheetViews>
    <sheetView showGridLines="0" tabSelected="1" zoomScale="90" zoomScaleNormal="90" workbookViewId="0">
      <pane ySplit="5" topLeftCell="A12" activePane="bottomLeft" state="frozen"/>
      <selection pane="bottomLeft" activeCell="I27" sqref="I27"/>
    </sheetView>
  </sheetViews>
  <sheetFormatPr defaultColWidth="10" defaultRowHeight="14.25"/>
  <cols>
    <col min="2" max="2" width="24" customWidth="1"/>
    <col min="3" max="5" width="18" customWidth="1"/>
    <col min="6" max="6" width="12" customWidth="1"/>
    <col min="7" max="7" width="34" customWidth="1"/>
  </cols>
  <sheetData>
    <row r="2" spans="2:7" ht="20.25" customHeight="1">
      <c r="B2" s="361" t="s">
        <v>949</v>
      </c>
      <c r="C2" s="361"/>
      <c r="D2" s="361"/>
      <c r="E2" s="361"/>
      <c r="F2" s="361"/>
      <c r="G2" s="361"/>
    </row>
    <row r="3" spans="2:7">
      <c r="B3" s="362" t="s">
        <v>950</v>
      </c>
      <c r="C3" s="362"/>
      <c r="D3" s="362"/>
      <c r="E3" s="362"/>
      <c r="F3" s="362"/>
      <c r="G3" s="362"/>
    </row>
    <row r="5" spans="2:7">
      <c r="B5" s="313" t="s">
        <v>450</v>
      </c>
      <c r="C5" s="313" t="s">
        <v>951</v>
      </c>
      <c r="D5" s="313" t="s">
        <v>952</v>
      </c>
      <c r="E5" s="313" t="s">
        <v>953</v>
      </c>
      <c r="F5" s="313" t="s">
        <v>274</v>
      </c>
      <c r="G5" s="313" t="s">
        <v>247</v>
      </c>
    </row>
    <row r="6" spans="2:7">
      <c r="B6" s="377" t="s">
        <v>1001</v>
      </c>
      <c r="C6" s="318">
        <f>'1-基础参数'!C6</f>
        <v>210</v>
      </c>
      <c r="D6" s="318"/>
      <c r="E6" s="318">
        <f>IF(D6="",C6,D6)</f>
        <v>210</v>
      </c>
      <c r="F6" s="316" t="s">
        <v>276</v>
      </c>
      <c r="G6" s="317" t="s">
        <v>954</v>
      </c>
    </row>
    <row r="7" spans="2:7">
      <c r="B7" s="314" t="s">
        <v>299</v>
      </c>
      <c r="C7" s="318">
        <v>500</v>
      </c>
      <c r="D7" s="318"/>
      <c r="E7" s="318">
        <f>IF(D7="",C7,D7)</f>
        <v>500</v>
      </c>
      <c r="F7" s="316" t="s">
        <v>300</v>
      </c>
      <c r="G7" s="317" t="s">
        <v>954</v>
      </c>
    </row>
    <row r="8" spans="2:7">
      <c r="B8" s="314" t="s">
        <v>285</v>
      </c>
      <c r="C8" s="318">
        <f>'1-基础参数'!C9</f>
        <v>32</v>
      </c>
      <c r="D8" s="318"/>
      <c r="E8" s="318">
        <f>IF(D8="",C8,D8)</f>
        <v>32</v>
      </c>
      <c r="F8" s="316" t="s">
        <v>955</v>
      </c>
      <c r="G8" s="317" t="s">
        <v>954</v>
      </c>
    </row>
    <row r="9" spans="2:7">
      <c r="B9" s="314" t="s">
        <v>149</v>
      </c>
      <c r="C9" s="318">
        <f>'1-基础参数'!C12</f>
        <v>11.200000000000001</v>
      </c>
      <c r="D9" s="318"/>
      <c r="E9" s="318">
        <f>IF(D9="",C9,D9)</f>
        <v>11.200000000000001</v>
      </c>
      <c r="F9" s="316" t="s">
        <v>956</v>
      </c>
      <c r="G9" s="317" t="s">
        <v>954</v>
      </c>
    </row>
    <row r="10" spans="2:7">
      <c r="B10" s="314" t="s">
        <v>957</v>
      </c>
      <c r="C10" s="318">
        <f>E7*E8*E9</f>
        <v>179200.00000000003</v>
      </c>
      <c r="D10" s="318"/>
      <c r="E10" s="318">
        <f>IF(D10="",C10,D10)</f>
        <v>179200.00000000003</v>
      </c>
      <c r="F10" s="316" t="s">
        <v>286</v>
      </c>
      <c r="G10" s="317" t="s">
        <v>958</v>
      </c>
    </row>
    <row r="12" spans="2:7" ht="15.75" customHeight="1">
      <c r="B12" s="359" t="s">
        <v>959</v>
      </c>
      <c r="C12" s="359"/>
      <c r="D12" s="359"/>
      <c r="E12" s="359"/>
      <c r="F12" s="359"/>
      <c r="G12" s="359"/>
    </row>
    <row r="13" spans="2:7">
      <c r="B13" s="314" t="s">
        <v>960</v>
      </c>
      <c r="C13" s="318">
        <f>'3-收益测算'!F6</f>
        <v>37632000</v>
      </c>
      <c r="D13" s="318"/>
      <c r="E13" s="318">
        <f>IF(D13="",C13,D13)</f>
        <v>37632000</v>
      </c>
      <c r="F13" s="316" t="s">
        <v>381</v>
      </c>
      <c r="G13" s="317" t="s">
        <v>961</v>
      </c>
    </row>
    <row r="14" spans="2:7">
      <c r="B14" s="314" t="s">
        <v>962</v>
      </c>
      <c r="C14" s="318">
        <f>0</f>
        <v>0</v>
      </c>
      <c r="D14" s="318"/>
      <c r="E14" s="318">
        <f>IF(D14="",C14,D14)</f>
        <v>0</v>
      </c>
      <c r="F14" s="316" t="s">
        <v>381</v>
      </c>
      <c r="G14" s="317" t="s">
        <v>963</v>
      </c>
    </row>
    <row r="15" spans="2:7">
      <c r="B15" s="314" t="s">
        <v>964</v>
      </c>
      <c r="C15" s="318">
        <f>E13-E14</f>
        <v>37632000</v>
      </c>
      <c r="D15" s="318"/>
      <c r="E15" s="318">
        <f>IF(D15="",C15,D15)</f>
        <v>37632000</v>
      </c>
      <c r="F15" s="316" t="s">
        <v>381</v>
      </c>
      <c r="G15" s="317" t="s">
        <v>965</v>
      </c>
    </row>
    <row r="16" spans="2:7">
      <c r="B16" s="314" t="s">
        <v>966</v>
      </c>
      <c r="C16" s="318">
        <f>E10</f>
        <v>179200.00000000003</v>
      </c>
      <c r="D16" s="318"/>
      <c r="E16" s="318">
        <f>IF(D16="",C16,D16)</f>
        <v>179200.00000000003</v>
      </c>
      <c r="F16" s="316" t="s">
        <v>286</v>
      </c>
      <c r="G16" s="317" t="s">
        <v>967</v>
      </c>
    </row>
    <row r="17" spans="2:7">
      <c r="B17" s="314" t="s">
        <v>968</v>
      </c>
      <c r="C17" s="318">
        <f>IFERROR(E15/E16,0)</f>
        <v>209.99999999999997</v>
      </c>
      <c r="D17" s="318"/>
      <c r="E17" s="318">
        <f>IF(D17="",C17,D17)</f>
        <v>209.99999999999997</v>
      </c>
      <c r="F17" s="316" t="s">
        <v>276</v>
      </c>
      <c r="G17" s="317" t="s">
        <v>969</v>
      </c>
    </row>
    <row r="19" spans="2:7" ht="15.75" customHeight="1">
      <c r="B19" s="359" t="s">
        <v>970</v>
      </c>
      <c r="C19" s="359"/>
      <c r="D19" s="359"/>
      <c r="E19" s="359"/>
      <c r="F19" s="359"/>
      <c r="G19" s="359"/>
    </row>
    <row r="20" spans="2:7">
      <c r="B20" s="314" t="s">
        <v>971</v>
      </c>
      <c r="C20" s="318">
        <f>'3-收益测算'!F9+'3-收益测算'!F10+'3-收益测算'!F11</f>
        <v>6214118.908325674</v>
      </c>
      <c r="D20" s="318"/>
      <c r="E20" s="318">
        <f t="shared" ref="E20:E29" si="0">IF(D20="",C20,D20)</f>
        <v>6214118.908325674</v>
      </c>
      <c r="F20" s="316" t="s">
        <v>381</v>
      </c>
      <c r="G20" s="317" t="s">
        <v>972</v>
      </c>
    </row>
    <row r="21" spans="2:7">
      <c r="B21" s="314" t="s">
        <v>541</v>
      </c>
      <c r="C21" s="318">
        <f>'3-收益测算'!F12</f>
        <v>13468000.000000002</v>
      </c>
      <c r="D21" s="318"/>
      <c r="E21" s="318">
        <f t="shared" si="0"/>
        <v>13468000.000000002</v>
      </c>
      <c r="F21" s="316" t="s">
        <v>381</v>
      </c>
      <c r="G21" s="317" t="s">
        <v>973</v>
      </c>
    </row>
    <row r="22" spans="2:7">
      <c r="B22" s="314" t="s">
        <v>974</v>
      </c>
      <c r="C22" s="318">
        <f>'3-收益测算'!F13</f>
        <v>10000000</v>
      </c>
      <c r="D22" s="318"/>
      <c r="E22" s="318">
        <f t="shared" si="0"/>
        <v>10000000</v>
      </c>
      <c r="F22" s="316" t="s">
        <v>381</v>
      </c>
      <c r="G22" s="317" t="s">
        <v>973</v>
      </c>
    </row>
    <row r="23" spans="2:7">
      <c r="B23" s="314" t="s">
        <v>544</v>
      </c>
      <c r="C23" s="318">
        <f>'3-收益测算'!F14</f>
        <v>2184000</v>
      </c>
      <c r="D23" s="318"/>
      <c r="E23" s="318">
        <f t="shared" si="0"/>
        <v>2184000</v>
      </c>
      <c r="F23" s="316" t="s">
        <v>381</v>
      </c>
      <c r="G23" s="317" t="s">
        <v>973</v>
      </c>
    </row>
    <row r="24" spans="2:7">
      <c r="B24" s="314" t="s">
        <v>466</v>
      </c>
      <c r="C24" s="318">
        <f>'3-收益测算'!F15</f>
        <v>500000</v>
      </c>
      <c r="D24" s="318"/>
      <c r="E24" s="318">
        <f t="shared" si="0"/>
        <v>500000</v>
      </c>
      <c r="F24" s="316" t="s">
        <v>381</v>
      </c>
      <c r="G24" s="317" t="s">
        <v>973</v>
      </c>
    </row>
    <row r="25" spans="2:7">
      <c r="B25" s="314" t="s">
        <v>431</v>
      </c>
      <c r="C25" s="318">
        <f>'3-收益测算'!F16</f>
        <v>0</v>
      </c>
      <c r="D25" s="318"/>
      <c r="E25" s="318">
        <f t="shared" si="0"/>
        <v>0</v>
      </c>
      <c r="F25" s="316" t="s">
        <v>381</v>
      </c>
      <c r="G25" s="317" t="s">
        <v>975</v>
      </c>
    </row>
    <row r="26" spans="2:7">
      <c r="B26" s="314" t="s">
        <v>433</v>
      </c>
      <c r="C26" s="318">
        <f>'3-收益测算'!F17</f>
        <v>3386880</v>
      </c>
      <c r="D26" s="318"/>
      <c r="E26" s="318">
        <f t="shared" si="0"/>
        <v>3386880</v>
      </c>
      <c r="F26" s="316" t="s">
        <v>381</v>
      </c>
      <c r="G26" s="317" t="s">
        <v>973</v>
      </c>
    </row>
    <row r="27" spans="2:7">
      <c r="B27" s="314" t="s">
        <v>976</v>
      </c>
      <c r="C27" s="318">
        <f>E15*'1-基础参数'!C25*'1-基础参数'!C22</f>
        <v>170117.26027397261</v>
      </c>
      <c r="D27" s="318"/>
      <c r="E27" s="318">
        <f t="shared" si="0"/>
        <v>170117.26027397261</v>
      </c>
      <c r="F27" s="316" t="s">
        <v>381</v>
      </c>
      <c r="G27" s="317" t="s">
        <v>977</v>
      </c>
    </row>
    <row r="28" spans="2:7">
      <c r="B28" s="314" t="s">
        <v>978</v>
      </c>
      <c r="C28" s="318">
        <f>0</f>
        <v>0</v>
      </c>
      <c r="D28" s="318"/>
      <c r="E28" s="318">
        <f t="shared" si="0"/>
        <v>0</v>
      </c>
      <c r="F28" s="316" t="s">
        <v>381</v>
      </c>
      <c r="G28" s="317" t="s">
        <v>979</v>
      </c>
    </row>
    <row r="29" spans="2:7">
      <c r="B29" s="314" t="s">
        <v>980</v>
      </c>
      <c r="C29" s="318">
        <f>SUM(E20:E28)</f>
        <v>35923116.168599643</v>
      </c>
      <c r="D29" s="318"/>
      <c r="E29" s="329">
        <f t="shared" si="0"/>
        <v>35923116.168599643</v>
      </c>
      <c r="F29" s="316" t="s">
        <v>381</v>
      </c>
      <c r="G29" s="317" t="s">
        <v>981</v>
      </c>
    </row>
    <row r="31" spans="2:7" ht="15.75" customHeight="1">
      <c r="B31" s="359" t="s">
        <v>982</v>
      </c>
      <c r="C31" s="359"/>
      <c r="D31" s="359"/>
      <c r="E31" s="359"/>
      <c r="F31" s="359"/>
      <c r="G31" s="359"/>
    </row>
    <row r="32" spans="2:7">
      <c r="B32" s="314" t="s">
        <v>983</v>
      </c>
      <c r="C32" s="318">
        <f>'3.5-资金清分'!D28*E7</f>
        <v>6117415.3293150654</v>
      </c>
      <c r="D32" s="318"/>
      <c r="E32" s="318">
        <f t="shared" ref="E32:E39" si="1">IF(D32="",C32,D32)</f>
        <v>6117415.3293150654</v>
      </c>
      <c r="F32" s="316" t="s">
        <v>381</v>
      </c>
      <c r="G32" s="317" t="s">
        <v>984</v>
      </c>
    </row>
    <row r="33" spans="2:7">
      <c r="B33" s="314" t="s">
        <v>985</v>
      </c>
      <c r="C33" s="329">
        <f>IFERROR(E32/E16,0)</f>
        <v>34.137362328767104</v>
      </c>
      <c r="D33" s="318"/>
      <c r="E33" s="329">
        <f t="shared" si="1"/>
        <v>34.137362328767104</v>
      </c>
      <c r="F33" s="316" t="s">
        <v>276</v>
      </c>
      <c r="G33" s="317" t="s">
        <v>986</v>
      </c>
    </row>
    <row r="34" spans="2:7">
      <c r="B34" s="314" t="s">
        <v>987</v>
      </c>
      <c r="C34" s="318">
        <f>E29+E32</f>
        <v>42040531.497914709</v>
      </c>
      <c r="D34" s="318"/>
      <c r="E34" s="318">
        <f t="shared" si="1"/>
        <v>42040531.497914709</v>
      </c>
      <c r="F34" s="316" t="s">
        <v>381</v>
      </c>
      <c r="G34" s="317" t="s">
        <v>988</v>
      </c>
    </row>
    <row r="35" spans="2:7">
      <c r="B35" s="377" t="s">
        <v>1000</v>
      </c>
      <c r="C35" s="329">
        <f>IFERROR(E34/E16,0)</f>
        <v>234.60118023389902</v>
      </c>
      <c r="D35" s="318"/>
      <c r="E35" s="329">
        <f t="shared" si="1"/>
        <v>234.60118023389902</v>
      </c>
      <c r="F35" s="316" t="s">
        <v>276</v>
      </c>
      <c r="G35" s="317" t="s">
        <v>989</v>
      </c>
    </row>
    <row r="36" spans="2:7">
      <c r="B36" s="314" t="s">
        <v>990</v>
      </c>
      <c r="C36" s="315" t="str">
        <f>IF(E33&gt;E35,"通过","口径待复核")</f>
        <v>口径待复核</v>
      </c>
      <c r="D36" s="317"/>
      <c r="E36" s="315" t="str">
        <f t="shared" si="1"/>
        <v>口径待复核</v>
      </c>
      <c r="F36" s="316" t="s">
        <v>991</v>
      </c>
      <c r="G36" s="317" t="s">
        <v>992</v>
      </c>
    </row>
    <row r="37" spans="2:7">
      <c r="B37" s="314" t="s">
        <v>993</v>
      </c>
      <c r="C37" s="315" t="str">
        <f>IF(E36&lt;&gt;"通过","口径待复核",IF(E17&gt;E33,"正常执行区",IF(E17&gt;E35,"承运层自担波动区","正式熔断区")))</f>
        <v>口径待复核</v>
      </c>
      <c r="D37" s="317"/>
      <c r="E37" s="315" t="str">
        <f t="shared" si="1"/>
        <v>口径待复核</v>
      </c>
      <c r="F37" s="316" t="s">
        <v>991</v>
      </c>
      <c r="G37" s="317" t="s">
        <v>994</v>
      </c>
    </row>
    <row r="38" spans="2:7">
      <c r="B38" s="314" t="s">
        <v>995</v>
      </c>
      <c r="C38" s="315" t="str">
        <f>IF(E37="口径待复核","先复核承运分包总价与非承运成本口径",IF(E37="正常执行区","正常执行",IF(E37="承运层自担波动区","承运层自担波动，项目继续执行","停新增、保在途；启动停运重谈")))</f>
        <v>先复核承运分包总价与非承运成本口径</v>
      </c>
      <c r="D38" s="317"/>
      <c r="E38" s="315" t="str">
        <f t="shared" si="1"/>
        <v>先复核承运分包总价与非承运成本口径</v>
      </c>
      <c r="F38" s="316" t="s">
        <v>991</v>
      </c>
      <c r="G38" s="317" t="s">
        <v>996</v>
      </c>
    </row>
    <row r="39" spans="2:7">
      <c r="B39" s="314" t="s">
        <v>997</v>
      </c>
      <c r="C39" s="315" t="str">
        <f>IF(E37="口径待复核","先复核后再判断","暂不恢复新增投放")</f>
        <v>先复核后再判断</v>
      </c>
      <c r="D39" s="317"/>
      <c r="E39" s="315" t="str">
        <f t="shared" si="1"/>
        <v>先复核后再判断</v>
      </c>
      <c r="F39" s="316" t="s">
        <v>991</v>
      </c>
      <c r="G39" s="317" t="s">
        <v>998</v>
      </c>
    </row>
  </sheetData>
  <mergeCells count="5">
    <mergeCell ref="B2:G2"/>
    <mergeCell ref="B3:G3"/>
    <mergeCell ref="B12:G12"/>
    <mergeCell ref="B19:G19"/>
    <mergeCell ref="B31:G31"/>
  </mergeCells>
  <phoneticPr fontId="43" type="noConversion"/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