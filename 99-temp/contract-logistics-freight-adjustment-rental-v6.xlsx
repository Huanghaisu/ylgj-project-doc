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<sst xmlns="http://schemas.openxmlformats.org/spreadsheetml/2006/main" count="1309" uniqueCount="1002">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</sst>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8"/>
  <sheetViews>
    <sheetView showGridLines="0" workbookViewId="0" zoomScale="90" zoomScaleNormal="90">
      <pane ySplit="5" topLeftCell="B6" activePane="bottomLeft" state="frozen"/>
      <selection pane="bottomLeft" activeCell="D8" sqref="D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-" max="-" width="42" customWidth="1"/>
  </cols>
  <sheetData>
    <row r="2">
      <c r="B2" s="360" t="inlineStr">
        <is>
          <t>7-运费调节测算区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采用租赁模式单车口径。承运毛利改为随运价自动变化的结果变量，仅保留人工覆盖口。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单车月运输吨数</t>
        </is>
      </c>
      <c r="C6" s="318">
        <f>'1-基础参数'!C9*'1-基础参数'!C12</f>
        <v>358.40000000000003</v>
      </c>
      <c r="D6" s="318"/>
      <c r="E6" s="318">
        <f>IF(D6="",C6,D6)</f>
        <v>358.40000000000003</v>
      </c>
      <c r="F6" s="316" t="inlineStr">
        <is>
          <t>吨/月</t>
        </is>
      </c>
      <c r="G6" s="317" t="inlineStr">
        <is>
          <t>载重乘月趟数。</t>
        </is>
      </c>
    </row>
    <row r="7">
      <c r="B7" s="314" t="inlineStr">
        <is>
          <t>货主支付物流费用</t>
        </is>
      </c>
      <c r="C7" s="318">
        <f>'3-收益测算'!E6</f>
        <v>75264.0</v>
      </c>
      <c r="D7" s="318"/>
      <c r="E7" s="318">
        <f>IF(D7="",IF(D8="",C-,D8*E6),D-)</f>
        <v>75264.0</v>
      </c>
      <c r="F7" s="316" t="inlineStr">
        <is>
          <t>元/月</t>
        </is>
      </c>
      <c r="G7" s="317" t="inlineStr">
        <is>
          <t>默认引用收入；调整实际到手运价后自动反推。</t>
        </is>
      </c>
    </row>
    <row r="8">
      <c r="B8" s="314" t="inlineStr">
        <is>
          <t>实际到手运价</t>
        </is>
      </c>
      <c r="C8" s="318">
        <f>IFERROR(C7/C6,0)</f>
        <v>209.99999999999997</v>
      </c>
      <c r="D8" s="318"/>
      <c r="E8" s="318">
        <f>IF(D8="",IFERROR(E7/E6,0),D8)</f>
        <v>209.99999999999997</v>
      </c>
      <c r="F8" s="316" t="inlineStr">
        <is>
          <t>元/吨趟</t>
        </is>
      </c>
      <c r="G8" s="317" t="inlineStr">
        <is>
          <t>主调参入口。</t>
        </is>
      </c>
    </row>
    <row r="10">
      <c r="B10" s="358" t="inlineStr">
        <is>
          <t>一、承运侧清分项目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29">
        <f>E7-E24-E11-E12</f>
        <v>820.0522831050184</v>
      </c>
      <c r="D13" s="318"/>
      <c r="E13" s="329">
        <f>IF(D13="",E7-E24-E11-E12,D13)</f>
        <v>820.0522831050184</v>
      </c>
      <c r="F13" s="316" t="inlineStr">
        <is>
          <t>元/月</t>
        </is>
      </c>
      <c r="G13" s="317" t="inlineStr">
        <is>
          <t>默认随运价联动计算；如需谈判测算，可在D13覆盖。</t>
        </is>
      </c>
    </row>
    <row r="14">
      <c r="B14" s="314" t="inlineStr">
        <is>
          <t>扣减承运侧后可用金额</t>
        </is>
      </c>
      <c r="C14" s="329">
        <f>E7-E11-E12-E13</f>
        <v>53443.94771689498</v>
      </c>
      <c r="D14" s="318"/>
      <c r="E14" s="329">
        <f>IF(D14="",E7-E11-E12-E13,D14)</f>
        <v>53443.94771689498</v>
      </c>
      <c r="F14" s="316" t="inlineStr">
        <is>
          <t>元/月</t>
        </is>
      </c>
      <c r="G14" s="317" t="inlineStr">
        <is>
          <t>货主支付物流费用扣减承运司机、管理、毛利后的余额。</t>
        </is>
      </c>
    </row>
    <row r="16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租赁模式牵引车及挂车租金。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租赁模式默认值为0，保留覆盖口。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货主支付物流费用税费（9%）</t>
        </is>
      </c>
      <c r="C23" s="329">
        <f>E7*9%</f>
        <v>6773.759999999999</v>
      </c>
      <c r="D23" s="318"/>
      <c r="E23" s="329">
        <f>IF(D23="",E7*9%,D23)</f>
        <v>6773.759999999999</v>
      </c>
      <c r="F23" s="316" t="inlineStr">
        <is>
          <t>元/月</t>
        </is>
      </c>
      <c r="G23" s="317" t="inlineStr">
        <is>
          <t>按货主支付物流费用的9%测算，随收入自动联动。</t>
        </is>
      </c>
    </row>
    <row r="24">
      <c r="B24" s="314" t="inlineStr">
        <is>
          <t>刚性支出覆盖要求合计</t>
        </is>
      </c>
      <c r="C24" s="329">
        <f>SUM(E17:E23)</f>
        <v>53443.94771689498</v>
      </c>
      <c r="D24" s="318"/>
      <c r="E24" s="329">
        <f>IF(D24="",SUM(E17:E23),D24)</f>
        <v>53443.94771689498</v>
      </c>
      <c r="F24" s="316" t="inlineStr">
        <is>
          <t>元/月</t>
        </is>
      </c>
      <c r="G24" s="317" t="inlineStr">
        <is>
          <t>合同物流企业要求被覆盖的刚性支出与资金收益。</t>
        </is>
      </c>
    </row>
    <row r="25">
      <c r="B25" s="314" t="inlineStr">
        <is>
          <t>合同物流企业执行边界线</t>
        </is>
      </c>
      <c r="C25" s="329">
        <f>IFERROR(E24/E6,0)</f>
        <v>149.1181576922293</v>
      </c>
      <c r="D25" s="318"/>
      <c r="E25" s="329">
        <f>IF(D25="",IFERROR(E24/E6,0),D25)</f>
        <v>149.1181576922293</v>
      </c>
      <c r="F25" s="316" t="inlineStr">
        <is>
          <t>元/吨趟</t>
        </is>
      </c>
      <c r="G25" s="317" t="inlineStr">
        <is>
          <t>刚性支出覆盖要求合计除以单车月运输吨数。</t>
        </is>
      </c>
    </row>
    <row r="26">
      <c r="B26" s="314" t="inlineStr">
        <is>
          <t>承运侧承压边界</t>
        </is>
      </c>
      <c r="C26" s="329">
        <f>E11+E12+E24</f>
        <v>74443.94771689498</v>
      </c>
      <c r="D26" s="318"/>
      <c r="E26" s="329">
        <f>IF(D26="",E11+E12+E24,D26)</f>
        <v>74443.94771689498</v>
      </c>
      <c r="F26" s="316" t="inlineStr">
        <is>
          <t>元/月</t>
        </is>
      </c>
      <c r="G26" s="317" t="inlineStr">
        <is>
          <t>低于该边界后，承运司机费、管理费及毛利缺口由承运侧承担。</t>
        </is>
      </c>
    </row>
    <row r="27">
      <c r="B27" s="314" t="inlineStr">
        <is>
          <t>承运侧承压边界折吨趟价</t>
        </is>
      </c>
      <c r="C27" s="329">
        <f>IFERROR(E26/E6,0)</f>
        <v>207.7119076922293</v>
      </c>
      <c r="D27" s="318"/>
      <c r="E27" s="329">
        <f>IF(D27="",IFERROR(E26/E6,0),D27)</f>
        <v>207.7119076922293</v>
      </c>
      <c r="F27" s="316" t="inlineStr">
        <is>
          <t>元/吨趟</t>
        </is>
      </c>
      <c r="G27" s="317" t="inlineStr">
        <is>
          <t>用于识别承运执行层承压区间。</t>
        </is>
      </c>
    </row>
    <row r="28">
      <c r="B28" s="358" t="inlineStr">
        <is>
          <t>三、风控判断</t>
        </is>
      </c>
      <c r="C28" s="358"/>
      <c r="D28" s="358"/>
      <c r="E28" s="358"/>
      <c r="F28" s="358"/>
      <c r="G28" s="358"/>
    </row>
    <row r="29">
      <c r="B29" s="314" t="inlineStr">
        <is>
          <t>差额/安全边际</t>
        </is>
      </c>
      <c r="C29" s="329">
        <f>E7-(E11+E12+E13+E24)</f>
        <v>0</v>
      </c>
      <c r="D29" s="318"/>
      <c r="E29" s="329">
        <f>IF(D29="",E7-(E11+E12+E13+E24),D29)</f>
        <v>0</v>
      </c>
      <c r="F29" s="316" t="inlineStr">
        <is>
          <t>元/月</t>
        </is>
      </c>
      <c r="G29" s="317" t="inlineStr">
        <is>
          <t>承运毛利随运价自动变化时，该项应恒等于0；如手工覆盖承运毛利，则反映人工设定差额。</t>
        </is>
      </c>
    </row>
    <row r="30">
      <c r="B30" s="314" t="inlineStr">
        <is>
          <t>风险区间判断</t>
        </is>
      </c>
      <c r="C30" s="315">
        <f>IF(E7&lt;E24,"合同物流企业执行边界区",IF(E13&lt;=0,"承运执行层自担区","正常执行区"))</f>
        <v>正常执行区</v>
      </c>
      <c r="D30" s="317"/>
      <c r="E30" s="315">
        <f>IF(D30="",C30,D30)</f>
        <v>正常执行区</v>
      </c>
      <c r="F30" s="316" t="inlineStr">
        <is>
          <t>文本</t>
        </is>
      </c>
      <c r="G30" s="317" t="inlineStr">
        <is>
          <t>先保合同物流企业刚性支出，再由承运侧承担执行层波动。</t>
        </is>
      </c>
    </row>
    <row r="31">
      <c r="B31" s="314" t="inlineStr">
        <is>
          <t>覆盖校验</t>
        </is>
      </c>
      <c r="C31" s="315">
        <f>IF(E7&gt;=E24,"通过","越界预警")</f>
        <v>通过</v>
      </c>
      <c r="D31" s="317"/>
      <c r="E31" s="315">
        <f>IF(D31="",C31,D31)</f>
        <v>通过</v>
      </c>
      <c r="F31" s="316" t="inlineStr">
        <is>
          <t>文本</t>
        </is>
      </c>
      <c r="G31" s="317" t="inlineStr">
        <is>
          <t>仅当货主支付物流费用低于合同物流企业刚性支出覆盖要求时报警。</t>
        </is>
      </c>
    </row>
    <row r="32">
      <c r="B32" s="314" t="inlineStr">
        <is>
          <t>动作结论</t>
        </is>
      </c>
      <c r="C32" s="315">
        <f>IF(E30="正常执行区","继续执行",IF(E30="承运执行层自担区","承运侧承担执行层缺口","暂停新增并启动价格重谈"))</f>
        <v>继续执行</v>
      </c>
      <c r="D32" s="317"/>
      <c r="E32" s="315">
        <f>IF(D32="",C32,D32)</f>
        <v>继续执行</v>
      </c>
      <c r="F32" s="316" t="inlineStr">
        <is>
          <t>文本</t>
        </is>
      </c>
      <c r="G32" s="317" t="inlineStr">
        <is>
          <t>承运毛利及承运执行层缺口均由承运物流企业承担。</t>
        </is>
      </c>
    </row>
    <row r="33">
      <c r="B33" s="314" t="inlineStr">
        <is>
          <t>线序校验</t>
        </is>
      </c>
      <c r="C33" s="315">
        <f>IF(E25&lt;E8,"通过","口径待复核")</f>
        <v>通过</v>
      </c>
      <c r="D33" s="317"/>
      <c r="E33" s="315">
        <f>IF(D33="",C33,D33)</f>
        <v>通过</v>
      </c>
      <c r="F33" s="316" t="inlineStr">
        <is>
          <t>文本</t>
        </is>
      </c>
      <c r="G33" s="317" t="inlineStr">
        <is>
          <t>合同物流企业执行边界线应低于当前实际到手运价。</t>
        </is>
      </c>
    </row>
    <row r="35">
      <c r="B35" s="358" t="inlineStr">
        <is>
          <t>四、平衡校验</t>
        </is>
      </c>
      <c r="C35" s="358"/>
      <c r="D35" s="358"/>
      <c r="E35" s="358"/>
      <c r="F35" s="358"/>
      <c r="G35" s="358"/>
    </row>
    <row r="36">
      <c r="B36" s="314" t="inlineStr">
        <is>
          <t>平衡关系</t>
        </is>
      </c>
      <c r="C36" s="315" t="inlineStr">
        <is>
          <t>货主支付物流费用 = 承运司机费用 + 承运管理费用 + 承运毛利 + 合同物流企业刚性支出覆盖要求 + 差额/安全边际</t>
        </is>
      </c>
      <c r="D36" s="317"/>
      <c r="E36" s="315" t="inlineStr">
        <is>
          <t>承运毛利随运价自动变化，不再作为固定前提值。</t>
        </is>
      </c>
      <c r="F36" s="316" t="inlineStr">
        <is>
          <t>文本</t>
        </is>
      </c>
      <c r="G36" s="317" t="inlineStr">
        <is>
          <t>用于核对清分逻辑与风控判断的一致性。</t>
        </is>
      </c>
    </row>
    <row r="37">
      <c r="B37" s="314" t="inlineStr">
        <is>
          <t>勾稽校验差额</t>
        </is>
      </c>
      <c r="C37" s="329">
        <f>E7-(E11+E12+E13+E24+E29)</f>
        <v>0</v>
      </c>
      <c r="D37" s="318"/>
      <c r="E37" s="329">
        <f>IF(D37="",E7-(E11+E12+E13+E24+E29),D37)</f>
        <v>0</v>
      </c>
      <c r="F37" s="316" t="inlineStr">
        <is>
          <t>元/月</t>
        </is>
      </c>
      <c r="G3-" s="317" t="inlineStr">
        <is>
          <t>应恒等于0。</t>
        </is>
      </c>
    </row>
    <row r="38">
      <c r="B38" s="314" t="inlineStr">
        <is>
          <t>使用方式</t>
        </is>
      </c>
      <c r="C38" s="315" t="inlineStr">
        <is>
          <t>优先改D8</t>
        </is>
      </c>
      <c r="D38" s="317"/>
      <c r="E38" s="315" t="inlineStr">
        <is>
          <t>调整实际到手运价后，收入、承运毛利、风险区间、覆盖校验、动作结论、线序校验将自动联动；如需强制覆盖承运毛利，可改D13。</t>
        </is>
      </c>
      <c r="F38" s="316" t="inlineStr">
        <is>
          <t>文本</t>
        </is>
      </c>
      <c r="G38" s="317" t="inlineStr">
        <is>
          <t>如需直接录入收入，可在D7覆盖。</t>
        </is>
      </c>
    </row>
  </sheetData>
  <mergeCells count="6">
    <mergeCell ref="B2:G2"/>
    <mergeCell ref="B3:G3"/>
    <mergeCell ref="B10:G10"/>
    <mergeCell ref="B16:G16"/>
    <mergeCell ref="B28:G28"/>
    <mergeCell ref="B35:G35"/>
  </mergeCells>
  <pageMargins left="0.-5" right="0.-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