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省平台\运力管家-黄骅港项目\04-财务模型\"/>
    </mc:Choice>
  </mc:AlternateContent>
  <xr:revisionPtr revIDLastSave="0" documentId="13_ncr:1_{998414E7-B735-41A0-9E1E-2624AD364839}" xr6:coauthVersionLast="47" xr6:coauthVersionMax="47" xr10:uidLastSave="{00000000-0000-0000-0000-000000000000}"/>
  <bookViews>
    <workbookView xWindow="-98" yWindow="-98" windowWidth="23236" windowHeight="13875" tabRatio="620" firstSheet="4" activeTab="9" xr2:uid="{00000000-000D-0000-FFFF-FFFF00000000}"/>
  </bookViews>
  <sheets>
    <sheet name="0-财务模型说明" sheetId="1" r:id="rId1"/>
    <sheet name="1-基础参数" sheetId="2" r:id="rId2"/>
    <sheet name="2-单车成本测算" sheetId="3" r:id="rId3"/>
    <sheet name="3-收益测算" sheetId="4" r:id="rId4"/>
    <sheet name="3.5-资金清分" sheetId="5" r:id="rId5"/>
    <sheet name="4-相关方收益分配" sheetId="6" r:id="rId6"/>
    <sheet name="5-资金流向图" sheetId="7" r:id="rId7"/>
    <sheet name="6-敏感性分析" sheetId="8" r:id="rId8"/>
    <sheet name="持车公司财务分析" sheetId="9" r:id="rId9"/>
    <sheet name="7-双层熔断测算区" sheetId="10" r:id="rId10"/>
  </sheets>
  <definedNames>
    <definedName name="_xlnm.Print_Area" localSheetId="8">持车公司财务分析!$B$2:$I$50</definedName>
    <definedName name="车队规模">'1-基础参数'!$C$13</definedName>
    <definedName name="车租账期">'1-基础参数'!$C$23</definedName>
    <definedName name="充电服务费">'1-基础参数'!$C$27</definedName>
    <definedName name="充电服务费返佣率">'1-基础参数'!$C$28</definedName>
    <definedName name="单边公里数">'1-基础参数'!$C$7</definedName>
    <definedName name="工作日">'1-基础参数'!$C$11</definedName>
    <definedName name="购置车辆数量">'1-基础参数'!$C$16</definedName>
    <definedName name="购置车辆占比">'1-基础参数'!$C$14</definedName>
    <definedName name="年化利率">'1-基础参数'!$C$24</definedName>
    <definedName name="平台信息服务费率">'1-基础参数'!$C$26</definedName>
    <definedName name="平台增值信息服务费">'1-基础参数'!$C$31</definedName>
    <definedName name="日利率">'1-基础参数'!$C$25</definedName>
    <definedName name="日趟数">'1-基础参数'!$C$10</definedName>
    <definedName name="双边公里数">'1-基础参数'!$C$8</definedName>
    <definedName name="税率">"'1-基础参数'!$C$32"</definedName>
    <definedName name="月趟数">'1-基础参数'!$C$12</definedName>
    <definedName name="运费账期">'1-基础参数'!$C$22</definedName>
    <definedName name="运价">'1-基础参数'!$C$6</definedName>
    <definedName name="载重">'1-基础参数'!$C$9</definedName>
    <definedName name="租赁车辆数量">'1-基础参数'!$C$17</definedName>
    <definedName name="租赁车辆占比">'1-基础参数'!$C$15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2" authorId="0" shapeId="0" xr:uid="{00000000-0006-0000-0800-000001000000}">
      <text>
        <r>
          <rPr>
            <sz val="10"/>
            <rFont val="Noto Sans CJK SC"/>
            <family val="2"/>
          </rPr>
          <t>可调整假设：当前融资期限按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个月设置，与单车成本表金融利息公式保持一致。</t>
        </r>
      </text>
    </comment>
    <comment ref="C13" authorId="0" shapeId="0" xr:uid="{00000000-0006-0000-0800-000002000000}">
      <text>
        <r>
          <rPr>
            <sz val="10"/>
            <rFont val="Noto Sans CJK SC"/>
            <family val="2"/>
          </rPr>
          <t>可调整假设：折旧年限默认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年，与当前模型摊销口径一致。</t>
        </r>
      </text>
    </comment>
    <comment ref="C14" authorId="0" shapeId="0" xr:uid="{00000000-0006-0000-0800-000003000000}">
      <text>
        <r>
          <rPr>
            <sz val="10"/>
            <rFont val="Noto Sans CJK SC"/>
            <family val="2"/>
          </rPr>
          <t>可调整假设：所得税率默认</t>
        </r>
        <r>
          <rPr>
            <sz val="10"/>
            <rFont val="Arial"/>
            <family val="2"/>
          </rPr>
          <t>25%</t>
        </r>
        <r>
          <rPr>
            <sz val="10"/>
            <rFont val="Noto Sans CJK SC"/>
            <family val="2"/>
          </rPr>
          <t>，如有税收优惠可自行修改。</t>
        </r>
      </text>
    </comment>
  </commentList>
</comments>
</file>

<file path=xl/sharedStrings.xml><?xml version="1.0" encoding="utf-8"?>
<sst xmlns="http://schemas.openxmlformats.org/spreadsheetml/2006/main" count="1309" uniqueCount="1002">
  <si>
    <t>黄骅港电车物流项目 · 财务模型使用说明</t>
  </si>
  <si>
    <r>
      <rPr>
        <i/>
        <sz val="9"/>
        <color rgb="FF0066CC"/>
        <rFont val="Noto Sans CJK SC"/>
        <family val="2"/>
      </rPr>
      <t>本模型用于测算黄骅港电动车物流项目各参与方的资金分配与收益，支持购置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租赁两种车辆运营模式的对比分析。所有数据均动态联动，修改基础参数后全表自动更新。</t>
    </r>
  </si>
  <si>
    <t>一、工作表目录与功能说明</t>
  </si>
  <si>
    <t>表序</t>
  </si>
  <si>
    <t>工作表名称</t>
  </si>
  <si>
    <t>功能定位</t>
  </si>
  <si>
    <t>主要内容</t>
  </si>
  <si>
    <t>上游依赖</t>
  </si>
  <si>
    <t>Sheet 0</t>
  </si>
  <si>
    <r>
      <rPr>
        <sz val="9"/>
        <color theme="1"/>
        <rFont val="Calibri"/>
        <family val="2"/>
      </rPr>
      <t>0-</t>
    </r>
    <r>
      <rPr>
        <sz val="9"/>
        <color theme="1"/>
        <rFont val="Noto Sans CJK SC"/>
        <family val="2"/>
      </rPr>
      <t>财务模型说明</t>
    </r>
  </si>
  <si>
    <r>
      <rPr>
        <sz val="9"/>
        <color theme="1"/>
        <rFont val="Noto Sans CJK SC"/>
        <family val="2"/>
      </rPr>
      <t xml:space="preserve">模型导航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说明文档</t>
    </r>
  </si>
  <si>
    <t>模型架构、参与方说明、关键公式逻辑、使用指引</t>
  </si>
  <si>
    <t>—</t>
  </si>
  <si>
    <t>Sheet 1</t>
  </si>
  <si>
    <r>
      <rPr>
        <sz val="9"/>
        <color theme="1"/>
        <rFont val="Calibri"/>
        <family val="2"/>
      </rPr>
      <t>1-</t>
    </r>
    <r>
      <rPr>
        <sz val="9"/>
        <color theme="1"/>
        <rFont val="Noto Sans CJK SC"/>
        <family val="2"/>
      </rPr>
      <t>基础参数</t>
    </r>
  </si>
  <si>
    <t>唯一参数输入入口</t>
  </si>
  <si>
    <r>
      <rPr>
        <sz val="9"/>
        <color theme="1"/>
        <rFont val="Noto Sans CJK SC"/>
        <family val="2"/>
      </rPr>
      <t>运营参数（运价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里程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车辆规模）、财务参数（利率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返佣率）、运营数据汇总</t>
    </r>
  </si>
  <si>
    <t>用户输入</t>
  </si>
  <si>
    <t>Sheet 2</t>
  </si>
  <si>
    <r>
      <rPr>
        <sz val="9"/>
        <color theme="1"/>
        <rFont val="Calibri"/>
        <family val="2"/>
      </rPr>
      <t>2-</t>
    </r>
    <r>
      <rPr>
        <sz val="9"/>
        <color theme="1"/>
        <rFont val="Noto Sans CJK SC"/>
        <family val="2"/>
      </rPr>
      <t>单车成本测算</t>
    </r>
  </si>
  <si>
    <t>单车成本基础数据</t>
  </si>
  <si>
    <t>单车能耗成本、维保成本、司机成本、管理成本、保险费等各项明细</t>
  </si>
  <si>
    <t>Sheet 3</t>
  </si>
  <si>
    <r>
      <rPr>
        <sz val="9"/>
        <color theme="1"/>
        <rFont val="Calibri"/>
        <family val="2"/>
      </rPr>
      <t>3-</t>
    </r>
    <r>
      <rPr>
        <sz val="9"/>
        <color theme="1"/>
        <rFont val="Noto Sans CJK SC"/>
        <family val="2"/>
      </rPr>
      <t>收益测算</t>
    </r>
  </si>
  <si>
    <t>运营收益概览</t>
  </si>
  <si>
    <t>项目整体收入、成本、利润率的高层测算</t>
  </si>
  <si>
    <t>Sheet 1, Sheet 2</t>
  </si>
  <si>
    <t>Sheet 3.5</t>
  </si>
  <si>
    <r>
      <rPr>
        <b/>
        <sz val="9"/>
        <color theme="1"/>
        <rFont val="Calibri"/>
        <family val="2"/>
      </rPr>
      <t>3.5-</t>
    </r>
    <r>
      <rPr>
        <b/>
        <sz val="9"/>
        <color theme="1"/>
        <rFont val="Noto Sans CJK SC"/>
        <family val="2"/>
      </rPr>
      <t>资金清分 ⭐</t>
    </r>
  </si>
  <si>
    <t>资金分配核心引擎</t>
  </si>
  <si>
    <r>
      <rPr>
        <b/>
        <sz val="9"/>
        <color theme="1"/>
        <rFont val="Calibri"/>
        <family val="2"/>
      </rPr>
      <t>6</t>
    </r>
    <r>
      <rPr>
        <b/>
        <sz val="9"/>
        <color theme="1"/>
        <rFont val="Noto Sans CJK SC"/>
        <family val="2"/>
      </rPr>
      <t>层资金清分逻辑，购置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租赁并排，</t>
    </r>
    <r>
      <rPr>
        <b/>
        <sz val="9"/>
        <color theme="1"/>
        <rFont val="Calibri"/>
        <family val="2"/>
      </rPr>
      <t>18</t>
    </r>
    <r>
      <rPr>
        <b/>
        <sz val="9"/>
        <color theme="1"/>
        <rFont val="Noto Sans CJK SC"/>
        <family val="2"/>
      </rPr>
      <t>个校验行全部</t>
    </r>
    <r>
      <rPr>
        <b/>
        <sz val="9"/>
        <color theme="1"/>
        <rFont val="Calibri"/>
        <family val="2"/>
      </rPr>
      <t>=0</t>
    </r>
  </si>
  <si>
    <t>Sheet 4</t>
  </si>
  <si>
    <r>
      <rPr>
        <sz val="9"/>
        <color theme="1"/>
        <rFont val="Calibri"/>
        <family val="2"/>
      </rPr>
      <t>4-</t>
    </r>
    <r>
      <rPr>
        <sz val="9"/>
        <color theme="1"/>
        <rFont val="Noto Sans CJK SC"/>
        <family val="2"/>
      </rPr>
      <t>相关方收益分配</t>
    </r>
  </si>
  <si>
    <t>各方利益对比汇总</t>
  </si>
  <si>
    <r>
      <rPr>
        <sz val="9"/>
        <color theme="1"/>
        <rFont val="Calibri"/>
        <family val="2"/>
      </rPr>
      <t>11</t>
    </r>
    <r>
      <rPr>
        <sz val="9"/>
        <color theme="1"/>
        <rFont val="Noto Sans CJK SC"/>
        <family val="2"/>
      </rPr>
      <t>个参与方的收入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支出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净收益，购置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租赁双模式</t>
    </r>
  </si>
  <si>
    <t>Sheet 5</t>
  </si>
  <si>
    <r>
      <rPr>
        <sz val="9"/>
        <color theme="1"/>
        <rFont val="Calibri"/>
        <family val="2"/>
      </rPr>
      <t>5-</t>
    </r>
    <r>
      <rPr>
        <sz val="9"/>
        <color theme="1"/>
        <rFont val="Noto Sans CJK SC"/>
        <family val="2"/>
      </rPr>
      <t>资金流向图</t>
    </r>
  </si>
  <si>
    <t>资金流向可视化</t>
  </si>
  <si>
    <r>
      <rPr>
        <sz val="9"/>
        <color theme="1"/>
        <rFont val="Calibri"/>
        <family val="2"/>
      </rPr>
      <t>15</t>
    </r>
    <r>
      <rPr>
        <sz val="9"/>
        <color theme="1"/>
        <rFont val="Noto Sans CJK SC"/>
        <family val="2"/>
      </rPr>
      <t>条资金流向路径、各方净收益占比、三大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渠道收益对比</t>
    </r>
  </si>
  <si>
    <t>Sheet 3.5, Sheet 4</t>
  </si>
  <si>
    <t>Sheet 6</t>
  </si>
  <si>
    <r>
      <rPr>
        <sz val="9"/>
        <color theme="1"/>
        <rFont val="Calibri"/>
        <family val="2"/>
      </rPr>
      <t>6-</t>
    </r>
    <r>
      <rPr>
        <sz val="9"/>
        <color theme="1"/>
        <rFont val="Noto Sans CJK SC"/>
        <family val="2"/>
      </rPr>
      <t>敏感性分析</t>
    </r>
  </si>
  <si>
    <r>
      <rPr>
        <sz val="9"/>
        <color theme="1"/>
        <rFont val="Noto Sans CJK SC"/>
        <family val="2"/>
      </rPr>
      <t xml:space="preserve">情景分析 </t>
    </r>
    <r>
      <rPr>
        <sz val="9"/>
        <color theme="1"/>
        <rFont val="Calibri"/>
        <family val="2"/>
      </rPr>
      <t xml:space="preserve">&amp; </t>
    </r>
    <r>
      <rPr>
        <sz val="9"/>
        <color theme="1"/>
        <rFont val="Noto Sans CJK SC"/>
        <family val="2"/>
      </rPr>
      <t>压力测试</t>
    </r>
  </si>
  <si>
    <t>关键参数变动对收益影响的敏感性测算</t>
  </si>
  <si>
    <t>Sheet 1, Sheet 3</t>
  </si>
  <si>
    <r>
      <rPr>
        <b/>
        <sz val="12"/>
        <color rgb="FFFFFFFF"/>
        <rFont val="Noto Sans CJK SC"/>
        <family val="2"/>
      </rPr>
      <t>二、参与方角色说明（共</t>
    </r>
    <r>
      <rPr>
        <b/>
        <sz val="12"/>
        <color rgb="FFFFFFFF"/>
        <rFont val="Calibri"/>
        <family val="2"/>
      </rPr>
      <t>11</t>
    </r>
    <r>
      <rPr>
        <b/>
        <sz val="12"/>
        <color rgb="FFFFFFFF"/>
        <rFont val="Noto Sans CJK SC"/>
        <family val="2"/>
      </rPr>
      <t>方）</t>
    </r>
  </si>
  <si>
    <t>#</t>
  </si>
  <si>
    <t>参与方</t>
  </si>
  <si>
    <t>角色类型</t>
  </si>
  <si>
    <t>收益来源</t>
  </si>
  <si>
    <r>
      <rPr>
        <b/>
        <sz val="9"/>
        <color rgb="FFFFFFFF"/>
        <rFont val="Noto Sans CJK SC"/>
        <family val="2"/>
      </rPr>
      <t>购置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租赁差异</t>
    </r>
  </si>
  <si>
    <t>货主企业</t>
  </si>
  <si>
    <t>付款方（无收益）</t>
  </si>
  <si>
    <t>支付全部运费，无直接收益</t>
  </si>
  <si>
    <t>两模式相同</t>
  </si>
  <si>
    <t>合同物流企业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</si>
  <si>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总包方</t>
    </r>
  </si>
  <si>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</si>
  <si>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t>租赁模式多车租账期利息</t>
  </si>
  <si>
    <t>物流服务公司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</si>
  <si>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 xml:space="preserve">渠道 </t>
    </r>
    <r>
      <rPr>
        <sz val="9"/>
        <color theme="1"/>
        <rFont val="Calibri"/>
        <family val="2"/>
      </rPr>
      <t xml:space="preserve">· </t>
    </r>
    <r>
      <rPr>
        <sz val="9"/>
        <color theme="1"/>
        <rFont val="Noto Sans CJK SC"/>
        <family val="2"/>
      </rPr>
      <t>运营主体</t>
    </r>
  </si>
  <si>
    <r>
      <rPr>
        <sz val="9"/>
        <color theme="1"/>
        <rFont val="Noto Sans CJK SC"/>
        <family val="2"/>
      </rPr>
      <t>可分账额</t>
    </r>
    <r>
      <rPr>
        <sz val="9"/>
        <color theme="1"/>
        <rFont val="Calibri"/>
        <family val="2"/>
      </rPr>
      <t>×45%</t>
    </r>
    <r>
      <rPr>
        <sz val="9"/>
        <color theme="1"/>
        <rFont val="Noto Sans CJK SC"/>
        <family val="2"/>
      </rPr>
      <t>留存</t>
    </r>
  </si>
  <si>
    <t>租赁模式净可分账额减少（多扣租赁费）</t>
  </si>
  <si>
    <t>承运物流企业</t>
  </si>
  <si>
    <t>实际承运方</t>
  </si>
  <si>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管理已由物流服务公司支付）</t>
    </r>
  </si>
  <si>
    <t>平台公司</t>
  </si>
  <si>
    <t>平台运营方</t>
  </si>
  <si>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 xml:space="preserve">) + </t>
    </r>
    <r>
      <rPr>
        <sz val="9"/>
        <color theme="1"/>
        <rFont val="Noto Sans CJK SC"/>
        <family val="2"/>
      </rPr>
      <t xml:space="preserve">信息服务费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增值公司返佣</t>
    </r>
  </si>
  <si>
    <t>购置无车赁溢价</t>
  </si>
  <si>
    <t>持车服务公司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</si>
  <si>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车辆资产方</t>
    </r>
  </si>
  <si>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融资租赁成本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保险费</t>
    </r>
  </si>
  <si>
    <r>
      <rPr>
        <sz val="9"/>
        <color theme="1"/>
        <rFont val="Noto Sans CJK SC"/>
        <family val="2"/>
      </rPr>
      <t>购置模式收益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（无车赁）</t>
    </r>
  </si>
  <si>
    <t>持车平台</t>
  </si>
  <si>
    <t>融资方（准银行角色）</t>
  </si>
  <si>
    <r>
      <rPr>
        <sz val="9"/>
        <color theme="1"/>
        <rFont val="Noto Sans CJK SC"/>
        <family val="2"/>
      </rPr>
      <t>融资租赁利息（融资成本</t>
    </r>
    <r>
      <rPr>
        <sz val="9"/>
        <color theme="1"/>
        <rFont val="Calibri"/>
        <family val="2"/>
      </rPr>
      <t>×15%/1.15</t>
    </r>
    <r>
      <rPr>
        <sz val="9"/>
        <color theme="1"/>
        <rFont val="Noto Sans CJK SC"/>
        <family val="2"/>
      </rPr>
      <t>）</t>
    </r>
  </si>
  <si>
    <t>仅租赁模式有收益</t>
  </si>
  <si>
    <t>充电服务商</t>
  </si>
  <si>
    <t>能源供应商（经营性）</t>
  </si>
  <si>
    <r>
      <rPr>
        <sz val="9"/>
        <color rgb="FF767676"/>
        <rFont val="Noto Sans CJK SC"/>
        <family val="2"/>
      </rPr>
      <t>服务费自留</t>
    </r>
    <r>
      <rPr>
        <sz val="9"/>
        <color rgb="FF767676"/>
        <rFont val="Calibri"/>
        <family val="2"/>
      </rPr>
      <t>90%</t>
    </r>
    <r>
      <rPr>
        <sz val="9"/>
        <color rgb="FF767676"/>
        <rFont val="Noto Sans CJK SC"/>
        <family val="2"/>
      </rPr>
      <t>（</t>
    </r>
    <r>
      <rPr>
        <sz val="9"/>
        <color rgb="FF767676"/>
        <rFont val="Calibri"/>
        <family val="2"/>
      </rPr>
      <t>0.3</t>
    </r>
    <r>
      <rPr>
        <sz val="9"/>
        <color rgb="FF767676"/>
        <rFont val="Noto Sans CJK SC"/>
        <family val="2"/>
      </rPr>
      <t>元</t>
    </r>
    <r>
      <rPr>
        <sz val="9"/>
        <color rgb="FF767676"/>
        <rFont val="Calibri"/>
        <family val="2"/>
      </rPr>
      <t>/</t>
    </r>
    <r>
      <rPr>
        <sz val="9"/>
        <color rgb="FF767676"/>
        <rFont val="Noto Sans CJK SC"/>
        <family val="2"/>
      </rPr>
      <t>度</t>
    </r>
    <r>
      <rPr>
        <sz val="9"/>
        <color rgb="FF767676"/>
        <rFont val="Calibri"/>
        <family val="2"/>
      </rPr>
      <t>×90%</t>
    </r>
    <r>
      <rPr>
        <sz val="9"/>
        <color rgb="FF767676"/>
        <rFont val="Noto Sans CJK SC"/>
        <family val="2"/>
      </rPr>
      <t>）</t>
    </r>
  </si>
  <si>
    <t>维保服务商</t>
  </si>
  <si>
    <t>维保供应商（过路）</t>
  </si>
  <si>
    <r>
      <rPr>
        <sz val="9"/>
        <color rgb="FF767676"/>
        <rFont val="Noto Sans CJK SC"/>
        <family val="2"/>
      </rPr>
      <t>净收益</t>
    </r>
    <r>
      <rPr>
        <sz val="9"/>
        <color rgb="FF767676"/>
        <rFont val="Calibri"/>
        <family val="2"/>
      </rPr>
      <t>=0</t>
    </r>
    <r>
      <rPr>
        <sz val="9"/>
        <color rgb="FF767676"/>
        <rFont val="Noto Sans CJK SC"/>
        <family val="2"/>
      </rPr>
      <t>（过路企业）</t>
    </r>
  </si>
  <si>
    <t>保险服务商</t>
  </si>
  <si>
    <t>保险代理（过路）</t>
  </si>
  <si>
    <r>
      <rPr>
        <sz val="9"/>
        <color theme="1"/>
        <rFont val="Noto Sans CJK SC"/>
        <family val="2"/>
      </rPr>
      <t>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（过路企业）</t>
    </r>
  </si>
  <si>
    <r>
      <rPr>
        <sz val="9"/>
        <color theme="1"/>
        <rFont val="Noto Sans CJK SC"/>
        <family val="2"/>
      </rPr>
      <t>购置有保险，租赁</t>
    </r>
    <r>
      <rPr>
        <sz val="9"/>
        <color theme="1"/>
        <rFont val="Calibri"/>
        <family val="2"/>
      </rPr>
      <t>=0</t>
    </r>
  </si>
  <si>
    <t>增值服务公司</t>
  </si>
  <si>
    <r>
      <rPr>
        <b/>
        <sz val="9"/>
        <color rgb="FF0070C0"/>
        <rFont val="Calibri"/>
        <family val="2"/>
      </rPr>
      <t>BD</t>
    </r>
    <r>
      <rPr>
        <b/>
        <sz val="9"/>
        <color rgb="FF0070C0"/>
        <rFont val="Noto Sans CJK SC"/>
        <family val="2"/>
      </rPr>
      <t xml:space="preserve">渠道 </t>
    </r>
    <r>
      <rPr>
        <b/>
        <sz val="9"/>
        <color rgb="FF0070C0"/>
        <rFont val="Calibri"/>
        <family val="2"/>
      </rPr>
      <t xml:space="preserve">· </t>
    </r>
    <r>
      <rPr>
        <b/>
        <sz val="9"/>
        <color rgb="FF0070C0"/>
        <rFont val="Noto Sans CJK SC"/>
        <family val="2"/>
      </rPr>
      <t>服务返佣</t>
    </r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</si>
  <si>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  <r>
      <rPr>
        <sz val="9"/>
        <color theme="1"/>
        <rFont val="Noto Sans CJK SC"/>
        <family val="2"/>
      </rPr>
      <t>（充电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保险）</t>
    </r>
  </si>
  <si>
    <t>租赁多保险佣金</t>
  </si>
  <si>
    <r>
      <rPr>
        <b/>
        <sz val="12"/>
        <color rgb="FFFFFFFF"/>
        <rFont val="Noto Sans CJK SC"/>
        <family val="2"/>
      </rPr>
      <t>三、资金清分逻辑（</t>
    </r>
    <r>
      <rPr>
        <b/>
        <sz val="12"/>
        <color rgb="FFFFFFFF"/>
        <rFont val="Calibri"/>
        <family val="2"/>
      </rPr>
      <t>6</t>
    </r>
    <r>
      <rPr>
        <b/>
        <sz val="12"/>
        <color rgb="FFFFFFFF"/>
        <rFont val="Noto Sans CJK SC"/>
        <family val="2"/>
      </rPr>
      <t>层架构）</t>
    </r>
  </si>
  <si>
    <t>层级</t>
  </si>
  <si>
    <t>清分主体</t>
  </si>
  <si>
    <t>核心逻辑</t>
  </si>
  <si>
    <t>净收益计算</t>
  </si>
  <si>
    <t>单车月净收益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</si>
  <si>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</t>
    </r>
  </si>
  <si>
    <t>货主支付运费（资金入口）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</si>
  <si>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</si>
  <si>
    <t>→ 全额流入合同物流企业</t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</si>
  <si>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月（单车）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</si>
  <si>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</t>
    </r>
  </si>
  <si>
    <t>合同物流企业清分</t>
  </si>
  <si>
    <r>
      <rPr>
        <sz val="9"/>
        <color theme="1"/>
        <rFont val="Noto Sans CJK SC"/>
        <family val="2"/>
      </rPr>
      <t>留存账期利息（运费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车租）后，支付信息费、车租，余额转包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</si>
  <si>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运费账期利息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车租账期利息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</si>
  <si>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402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482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</si>
  <si>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</t>
    </r>
  </si>
  <si>
    <t>物流服务公司清分</t>
  </si>
  <si>
    <r>
      <rPr>
        <sz val="9"/>
        <color theme="1"/>
        <rFont val="Noto Sans CJK SC"/>
        <family val="2"/>
      </rPr>
      <t>先扣硬性成本（能源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管理），余额净可分账额按</t>
    </r>
    <r>
      <rPr>
        <sz val="9"/>
        <color theme="1"/>
        <rFont val="Calibri"/>
        <family val="2"/>
      </rPr>
      <t>55%/45%</t>
    </r>
    <r>
      <rPr>
        <sz val="9"/>
        <color theme="1"/>
        <rFont val="Noto Sans CJK SC"/>
        <family val="2"/>
      </rPr>
      <t>分账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</si>
  <si>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>× 45%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</si>
  <si>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10,151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3,384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</si>
  <si>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</si>
  <si>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平台公司清分（车赁链）</t>
  </si>
  <si>
    <r>
      <rPr>
        <sz val="9"/>
        <color theme="1"/>
        <rFont val="Noto Sans CJK SC"/>
        <family val="2"/>
      </rPr>
      <t>仅租赁模式：收车赁费，转付持车服务公司（扣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</si>
  <si>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>=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 xml:space="preserve">车辆数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 xml:space="preserve">信息费 </t>
    </r>
    <r>
      <rPr>
        <sz val="9"/>
        <color theme="1"/>
        <rFont val="Calibri"/>
        <family val="2"/>
      </rPr>
      <t xml:space="preserve">+ 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</si>
  <si>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</si>
  <si>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</si>
  <si>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承运物流企业清分</t>
  </si>
  <si>
    <r>
      <rPr>
        <sz val="9"/>
        <color theme="1"/>
        <rFont val="Noto Sans CJK SC"/>
        <family val="2"/>
      </rPr>
      <t>收分包款，扣进场费（司机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管理已在第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层统一支付）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</si>
  <si>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分包款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进场费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</si>
  <si>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12,407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4,136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</si>
  <si>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3b</t>
    </r>
    <r>
      <rPr>
        <sz val="9"/>
        <color theme="1"/>
        <rFont val="Noto Sans CJK SC"/>
        <family val="2"/>
      </rPr>
      <t>层</t>
    </r>
  </si>
  <si>
    <t>持车服务公司清分（车赁链）</t>
  </si>
  <si>
    <r>
      <rPr>
        <sz val="9"/>
        <color theme="1"/>
        <rFont val="Noto Sans CJK SC"/>
        <family val="2"/>
      </rPr>
      <t>仅租赁模式：收平台转付车赁，支付融资租赁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</si>
  <si>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车赁收入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融资成本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保险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</si>
  <si>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705</t>
    </r>
    <r>
      <rPr>
        <sz val="9"/>
        <color theme="1"/>
        <rFont val="Noto Sans CJK SC"/>
        <family val="2"/>
      </rPr>
      <t>元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</si>
  <si>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</t>
    </r>
    <r>
      <rPr>
        <sz val="9"/>
        <color theme="1"/>
        <rFont val="Noto Sans CJK SC"/>
        <family val="2"/>
      </rPr>
      <t>层</t>
    </r>
  </si>
  <si>
    <r>
      <rPr>
        <sz val="9"/>
        <color theme="1"/>
        <rFont val="Noto Sans CJK SC"/>
        <family val="2"/>
      </rPr>
      <t>渠道服务商清分（</t>
    </r>
    <r>
      <rPr>
        <sz val="9"/>
        <color theme="1"/>
        <rFont val="Calibri"/>
        <family val="2"/>
      </rPr>
      <t>4a/4b/4c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</si>
  <si>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充电商赚服务费</t>
    </r>
    <r>
      <rPr>
        <sz val="9"/>
        <color theme="1"/>
        <rFont val="Calibri"/>
        <family val="2"/>
      </rPr>
      <t>90%</t>
    </r>
    <r>
      <rPr>
        <sz val="9"/>
        <color theme="1"/>
        <rFont val="Noto Sans CJK SC"/>
        <family val="2"/>
      </rPr>
      <t>；维保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保险为过路企业（净收益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）；各自按比例向增值公司支付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</si>
  <si>
    <r>
      <rPr>
        <sz val="9"/>
        <color theme="1"/>
        <rFont val="Noto Sans CJK SC"/>
        <family val="2"/>
      </rPr>
      <t xml:space="preserve">充电净收益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Calibri"/>
        <family val="2"/>
      </rPr>
      <t>×90%</t>
    </r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</si>
  <si>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7,498</t>
    </r>
    <r>
      <rPr>
        <sz val="9"/>
        <color theme="1"/>
        <rFont val="Noto Sans CJK SC"/>
        <family val="2"/>
      </rPr>
      <t>元（两模式同）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</si>
  <si>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</si>
  <si>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增值服务公司清分</t>
  </si>
  <si>
    <r>
      <rPr>
        <sz val="9"/>
        <color theme="1"/>
        <rFont val="Noto Sans CJK SC"/>
        <family val="2"/>
      </rPr>
      <t>汇聚三类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佣金（充电</t>
    </r>
    <r>
      <rPr>
        <sz val="9"/>
        <color theme="1"/>
        <rFont val="Calibri"/>
        <family val="2"/>
      </rPr>
      <t>833+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437+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>0/331</t>
    </r>
    <r>
      <rPr>
        <sz val="9"/>
        <color theme="1"/>
        <rFont val="Noto Sans CJK SC"/>
        <family val="2"/>
      </rPr>
      <t>），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返佣平台</t>
    </r>
  </si>
  <si>
    <r>
      <rPr>
        <sz val="9"/>
        <color theme="1"/>
        <rFont val="Noto Sans CJK SC"/>
        <family val="2"/>
      </rPr>
      <t xml:space="preserve">净收益 </t>
    </r>
    <r>
      <rPr>
        <sz val="9"/>
        <color theme="1"/>
        <rFont val="Calibri"/>
        <family val="2"/>
      </rPr>
      <t xml:space="preserve">= </t>
    </r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Calibri"/>
        <family val="2"/>
      </rPr>
      <t>× 75%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</si>
  <si>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952</t>
    </r>
    <r>
      <rPr>
        <sz val="9"/>
        <color theme="1"/>
        <rFont val="Noto Sans CJK SC"/>
        <family val="2"/>
      </rPr>
      <t xml:space="preserve">元 </t>
    </r>
    <r>
      <rPr>
        <sz val="9"/>
        <color theme="1"/>
        <rFont val="Calibri"/>
        <family val="2"/>
      </rPr>
      <t xml:space="preserve">/ 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1,201</t>
    </r>
    <r>
      <rPr>
        <sz val="9"/>
        <color theme="1"/>
        <rFont val="Noto Sans CJK SC"/>
        <family val="2"/>
      </rPr>
      <t>元</t>
    </r>
  </si>
  <si>
    <r>
      <rPr>
        <b/>
        <sz val="12"/>
        <color rgb="FFFFFFFF"/>
        <rFont val="Noto Sans CJK SC"/>
        <family val="2"/>
      </rPr>
      <t>四、关键参数一览（</t>
    </r>
    <r>
      <rPr>
        <b/>
        <sz val="12"/>
        <color rgb="FFFFFFFF"/>
        <rFont val="Calibri"/>
        <family val="2"/>
      </rPr>
      <t>1-</t>
    </r>
    <r>
      <rPr>
        <b/>
        <sz val="12"/>
        <color rgb="FFFFFFFF"/>
        <rFont val="Noto Sans CJK SC"/>
        <family val="2"/>
      </rPr>
      <t>基础参数表）</t>
    </r>
  </si>
  <si>
    <t>参数名称</t>
  </si>
  <si>
    <t>单元格</t>
  </si>
  <si>
    <t>当前值</t>
  </si>
  <si>
    <t>作用说明</t>
  </si>
  <si>
    <t>影响层级</t>
  </si>
  <si>
    <t>运价</t>
  </si>
  <si>
    <t>C6</t>
  </si>
  <si>
    <r>
      <rPr>
        <sz val="9"/>
        <color theme="1"/>
        <rFont val="Calibri"/>
        <family val="2"/>
      </rPr>
      <t xml:space="preserve">210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吨</t>
    </r>
  </si>
  <si>
    <t>决定运费总收入基数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</si>
  <si>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0</t>
    </r>
    <r>
      <rPr>
        <sz val="9"/>
        <color theme="1"/>
        <rFont val="Noto Sans CJK SC"/>
        <family val="2"/>
      </rPr>
      <t>层～全链</t>
    </r>
  </si>
  <si>
    <t>月趟数</t>
  </si>
  <si>
    <t>C12</t>
  </si>
  <si>
    <r>
      <rPr>
        <sz val="9"/>
        <color theme="1"/>
        <rFont val="Calibri"/>
        <family val="2"/>
      </rPr>
      <t xml:space="preserve">11.2 </t>
    </r>
    <r>
      <rPr>
        <sz val="9"/>
        <color theme="1"/>
        <rFont val="Noto Sans CJK SC"/>
        <family val="2"/>
      </rPr>
      <t>趟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</si>
  <si>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>×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总收入</t>
    </r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</si>
  <si>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计算模式</t>
    </r>
  </si>
  <si>
    <t>C37/C40</t>
  </si>
  <si>
    <r>
      <rPr>
        <b/>
        <sz val="9"/>
        <color theme="1"/>
        <rFont val="Calibri"/>
        <family val="2"/>
      </rPr>
      <t>1</t>
    </r>
    <r>
      <rPr>
        <b/>
        <sz val="9"/>
        <color theme="1"/>
        <rFont val="Noto Sans CJK SC"/>
        <family val="2"/>
      </rPr>
      <t>（单车模式）</t>
    </r>
  </si>
  <si>
    <r>
      <rPr>
        <sz val="9"/>
        <color theme="1"/>
        <rFont val="Noto Sans CJK SC"/>
        <family val="2"/>
      </rPr>
      <t>切换</t>
    </r>
    <r>
      <rPr>
        <sz val="9"/>
        <color theme="1"/>
        <rFont val="Calibri"/>
        <family val="2"/>
      </rPr>
      <t>1=</t>
    </r>
    <r>
      <rPr>
        <sz val="9"/>
        <color theme="1"/>
        <rFont val="Noto Sans CJK SC"/>
        <family val="2"/>
      </rPr>
      <t xml:space="preserve">单车 </t>
    </r>
    <r>
      <rPr>
        <sz val="9"/>
        <color theme="1"/>
        <rFont val="Calibri"/>
        <family val="2"/>
      </rPr>
      <t>/ 500=</t>
    </r>
    <r>
      <rPr>
        <sz val="9"/>
        <color theme="1"/>
        <rFont val="Noto Sans CJK SC"/>
        <family val="2"/>
      </rPr>
      <t>车队，全表跟随变化</t>
    </r>
  </si>
  <si>
    <t>全表</t>
  </si>
  <si>
    <t>承运方分账比例</t>
  </si>
  <si>
    <t>C33</t>
  </si>
  <si>
    <t>物流服务公司分账给承运方的比例（可调）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</si>
  <si>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2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3</t>
    </r>
    <r>
      <rPr>
        <sz val="9"/>
        <color theme="1"/>
        <rFont val="Noto Sans CJK SC"/>
        <family val="2"/>
      </rPr>
      <t>层</t>
    </r>
  </si>
  <si>
    <t>充电服务费</t>
  </si>
  <si>
    <t>C27</t>
  </si>
  <si>
    <r>
      <rPr>
        <sz val="9"/>
        <color theme="1"/>
        <rFont val="Calibri"/>
        <family val="2"/>
      </rPr>
      <t xml:space="preserve">0.3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度</t>
    </r>
  </si>
  <si>
    <r>
      <rPr>
        <sz val="9"/>
        <color theme="1"/>
        <rFont val="Noto Sans CJK SC"/>
        <family val="2"/>
      </rPr>
      <t>电价</t>
    </r>
    <r>
      <rPr>
        <sz val="9"/>
        <color theme="1"/>
        <rFont val="Calibri"/>
        <family val="2"/>
      </rPr>
      <t>0.97</t>
    </r>
    <r>
      <rPr>
        <sz val="9"/>
        <color theme="1"/>
        <rFont val="Noto Sans CJK SC"/>
        <family val="2"/>
      </rPr>
      <t>中的服务费部分，返佣基数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</si>
  <si>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</t>
    </r>
  </si>
  <si>
    <t>充电返佣率</t>
  </si>
  <si>
    <t>C28</t>
  </si>
  <si>
    <r>
      <rPr>
        <sz val="9"/>
        <color theme="1"/>
        <rFont val="Noto Sans CJK SC"/>
        <family val="2"/>
      </rPr>
      <t>仅对充电服务费</t>
    </r>
    <r>
      <rPr>
        <sz val="9"/>
        <color theme="1"/>
        <rFont val="Calibri"/>
        <family val="2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)</t>
    </r>
    <r>
      <rPr>
        <sz val="9"/>
        <color theme="1"/>
        <rFont val="Noto Sans CJK SC"/>
        <family val="2"/>
      </rPr>
      <t>部分计算返佣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</si>
  <si>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4a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</si>
  <si>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维保返佣率</t>
  </si>
  <si>
    <t>C29</t>
  </si>
  <si>
    <r>
      <rPr>
        <sz val="9"/>
        <color theme="1"/>
        <rFont val="Noto Sans CJK SC"/>
        <family val="2"/>
      </rPr>
      <t>维保费全额</t>
    </r>
    <r>
      <rPr>
        <sz val="9"/>
        <color theme="1"/>
        <rFont val="Calibri"/>
        <family val="2"/>
      </rPr>
      <t>×10%</t>
    </r>
    <r>
      <rPr>
        <sz val="9"/>
        <color theme="1"/>
        <rFont val="Noto Sans CJK SC"/>
        <family val="2"/>
      </rPr>
      <t>向增值公司支付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</si>
  <si>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4b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</si>
  <si>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保险佣金率</t>
  </si>
  <si>
    <t>C30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</si>
  <si>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Calibri"/>
        <family val="2"/>
      </rPr>
      <t>×15%</t>
    </r>
    <r>
      <rPr>
        <sz val="9"/>
        <color theme="1"/>
        <rFont val="Noto Sans CJK SC"/>
        <family val="2"/>
      </rPr>
      <t>为渠道佣金（购置有，租赁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</si>
  <si>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4c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</t>
    </r>
  </si>
  <si>
    <t>增值公司返佣平台</t>
  </si>
  <si>
    <t>C34</t>
  </si>
  <si>
    <r>
      <rPr>
        <sz val="9"/>
        <color theme="1"/>
        <rFont val="Noto Sans CJK SC"/>
        <family val="2"/>
      </rPr>
      <t>增值服务公司将三类佣金合计的</t>
    </r>
    <r>
      <rPr>
        <sz val="9"/>
        <color theme="1"/>
        <rFont val="Calibri"/>
        <family val="2"/>
      </rPr>
      <t>25%</t>
    </r>
    <r>
      <rPr>
        <sz val="9"/>
        <color theme="1"/>
        <rFont val="Noto Sans CJK SC"/>
        <family val="2"/>
      </rPr>
      <t>返给平台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</si>
  <si>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5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</si>
  <si>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运费账期</t>
  </si>
  <si>
    <t>C22</t>
  </si>
  <si>
    <r>
      <rPr>
        <sz val="9"/>
        <color theme="1"/>
        <rFont val="Calibri"/>
        <family val="2"/>
      </rPr>
      <t xml:space="preserve">30 </t>
    </r>
    <r>
      <rPr>
        <sz val="9"/>
        <color theme="1"/>
        <rFont val="Noto Sans CJK SC"/>
        <family val="2"/>
      </rPr>
      <t>天</t>
    </r>
  </si>
  <si>
    <t>影响合同物流企业账期利息收入</t>
  </si>
  <si>
    <t>车租账期</t>
  </si>
  <si>
    <t>C23</t>
  </si>
  <si>
    <t>租赁模式下影响合同物流企业车租账期利息</t>
  </si>
  <si>
    <t>年化利率</t>
  </si>
  <si>
    <t>C24</t>
  </si>
  <si>
    <t>计算账期利息的年化利率</t>
  </si>
  <si>
    <t>平台信息服务费率</t>
  </si>
  <si>
    <t>C26</t>
  </si>
  <si>
    <t>5‰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</si>
  <si>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×5‰</t>
    </r>
    <r>
      <rPr>
        <sz val="9"/>
        <color theme="1"/>
        <rFont val="Noto Sans CJK SC"/>
        <family val="2"/>
      </rPr>
      <t>，合同物流企业支付给平台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</si>
  <si>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Calibri"/>
        <family val="2"/>
      </rPr>
      <t>1</t>
    </r>
    <r>
      <rPr>
        <sz val="9"/>
        <color theme="1"/>
        <rFont val="Noto Sans CJK SC"/>
        <family val="2"/>
      </rPr>
      <t>层、第</t>
    </r>
    <r>
      <rPr>
        <sz val="9"/>
        <color theme="1"/>
        <rFont val="Calibri"/>
        <family val="2"/>
      </rPr>
      <t>2b</t>
    </r>
    <r>
      <rPr>
        <sz val="9"/>
        <color theme="1"/>
        <rFont val="Noto Sans CJK SC"/>
        <family val="2"/>
      </rPr>
      <t>层</t>
    </r>
  </si>
  <si>
    <t>五、核心公式逻辑说明</t>
  </si>
  <si>
    <t>公式名称</t>
  </si>
  <si>
    <t>所在位置</t>
  </si>
  <si>
    <r>
      <rPr>
        <b/>
        <sz val="9"/>
        <color rgb="FFFFFFFF"/>
        <rFont val="Noto Sans CJK SC"/>
        <family val="2"/>
      </rPr>
      <t>公式逻辑（</t>
    </r>
    <r>
      <rPr>
        <b/>
        <sz val="9"/>
        <color rgb="FFFFFFFF"/>
        <rFont val="Calibri"/>
        <family val="2"/>
      </rPr>
      <t>D:E</t>
    </r>
    <r>
      <rPr>
        <b/>
        <sz val="9"/>
        <color rgb="FFFFFFFF"/>
        <rFont val="Noto Sans CJK SC"/>
        <family val="2"/>
      </rPr>
      <t>合并）</t>
    </r>
  </si>
  <si>
    <t>数值示例（单车购置）</t>
  </si>
  <si>
    <t>运费总收入</t>
  </si>
  <si>
    <t>3.5 D9/E9</t>
  </si>
  <si>
    <r>
      <rPr>
        <sz val="9"/>
        <color theme="1"/>
        <rFont val="Noto Sans CJK SC"/>
        <family val="2"/>
      </rPr>
      <t>运价</t>
    </r>
    <r>
      <rPr>
        <sz val="9"/>
        <color theme="1"/>
        <rFont val="Calibri"/>
        <family val="2"/>
      </rPr>
      <t xml:space="preserve">(210) × </t>
    </r>
    <r>
      <rPr>
        <sz val="9"/>
        <color theme="1"/>
        <rFont val="Noto Sans CJK SC"/>
        <family val="2"/>
      </rPr>
      <t>载重</t>
    </r>
    <r>
      <rPr>
        <sz val="9"/>
        <color theme="1"/>
        <rFont val="Calibri"/>
        <family val="2"/>
      </rPr>
      <t xml:space="preserve">(32) × </t>
    </r>
    <r>
      <rPr>
        <sz val="9"/>
        <color theme="1"/>
        <rFont val="Noto Sans CJK SC"/>
        <family val="2"/>
      </rPr>
      <t>月趟数</t>
    </r>
    <r>
      <rPr>
        <sz val="9"/>
        <color theme="1"/>
        <rFont val="Calibri"/>
        <family val="2"/>
      </rPr>
      <t xml:space="preserve">(11.2) × </t>
    </r>
    <r>
      <rPr>
        <sz val="9"/>
        <color theme="1"/>
        <rFont val="Noto Sans CJK SC"/>
        <family val="2"/>
      </rPr>
      <t>车辆数</t>
    </r>
    <r>
      <rPr>
        <sz val="9"/>
        <color theme="1"/>
        <rFont val="Calibri"/>
        <family val="2"/>
      </rPr>
      <t>(1)</t>
    </r>
  </si>
  <si>
    <r>
      <rPr>
        <sz val="9"/>
        <color theme="1"/>
        <rFont val="Calibri"/>
        <family val="2"/>
      </rPr>
      <t xml:space="preserve">75,264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</si>
  <si>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运费账期利息</t>
  </si>
  <si>
    <t>3.5 D12/E12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</si>
  <si>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Calibri"/>
        <family val="2"/>
      </rPr>
      <t>× (</t>
    </r>
    <r>
      <rPr>
        <sz val="9"/>
        <color theme="1"/>
        <rFont val="Noto Sans CJK SC"/>
        <family val="2"/>
      </rPr>
      <t>年化利率</t>
    </r>
    <r>
      <rPr>
        <sz val="9"/>
        <color theme="1"/>
        <rFont val="Calibri"/>
        <family val="2"/>
      </rPr>
      <t xml:space="preserve">6.5%÷365) × </t>
    </r>
    <r>
      <rPr>
        <sz val="9"/>
        <color theme="1"/>
        <rFont val="Noto Sans CJK SC"/>
        <family val="2"/>
      </rPr>
      <t>账期</t>
    </r>
    <r>
      <rPr>
        <sz val="9"/>
        <color theme="1"/>
        <rFont val="Calibri"/>
        <family val="2"/>
      </rPr>
      <t>30</t>
    </r>
    <r>
      <rPr>
        <sz val="9"/>
        <color theme="1"/>
        <rFont val="Noto Sans CJK SC"/>
        <family val="2"/>
      </rPr>
      <t>天</t>
    </r>
  </si>
  <si>
    <r>
      <rPr>
        <sz val="9"/>
        <color theme="1"/>
        <rFont val="Calibri"/>
        <family val="2"/>
      </rPr>
      <t xml:space="preserve">402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</si>
  <si>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平台信息服务费</t>
  </si>
  <si>
    <t>3.5 D14/E14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</si>
  <si>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平台服务费率</t>
    </r>
    <r>
      <rPr>
        <sz val="9"/>
        <color theme="1"/>
        <rFont val="Calibri"/>
        <family val="2"/>
      </rPr>
      <t>(5‰)</t>
    </r>
  </si>
  <si>
    <r>
      <rPr>
        <sz val="9"/>
        <color theme="1"/>
        <rFont val="Calibri"/>
        <family val="2"/>
      </rPr>
      <t xml:space="preserve">374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</si>
  <si>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净可分账额</t>
  </si>
  <si>
    <t>3.5 D27/E27</t>
  </si>
  <si>
    <r>
      <rPr>
        <sz val="9"/>
        <color theme="1"/>
        <rFont val="Noto Sans CJK SC"/>
        <family val="2"/>
      </rPr>
      <t xml:space="preserve">转包款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维保费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 xml:space="preserve">司机成本 </t>
    </r>
    <r>
      <rPr>
        <sz val="9"/>
        <color theme="1"/>
        <rFont val="Calibri"/>
        <family val="2"/>
      </rPr>
      <t xml:space="preserve">- </t>
    </r>
    <r>
      <rPr>
        <sz val="9"/>
        <color theme="1"/>
        <rFont val="Noto Sans CJK SC"/>
        <family val="2"/>
      </rPr>
      <t>管理费（硬性成本先全扣）</t>
    </r>
  </si>
  <si>
    <r>
      <rPr>
        <sz val="9"/>
        <color theme="1"/>
        <rFont val="Calibri"/>
        <family val="2"/>
      </rPr>
      <t xml:space="preserve">22,558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</si>
  <si>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承运方分包款</t>
  </si>
  <si>
    <t>3.5 D28/E28</t>
  </si>
  <si>
    <r>
      <rPr>
        <sz val="9"/>
        <color theme="1"/>
        <rFont val="Noto Sans CJK SC"/>
        <family val="2"/>
      </rPr>
      <t xml:space="preserve">净可分账额 </t>
    </r>
    <r>
      <rPr>
        <sz val="9"/>
        <color theme="1"/>
        <rFont val="Calibri"/>
        <family val="2"/>
      </rPr>
      <t xml:space="preserve">× </t>
    </r>
    <r>
      <rPr>
        <sz val="9"/>
        <color theme="1"/>
        <rFont val="Noto Sans CJK SC"/>
        <family val="2"/>
      </rPr>
      <t>承运方分账比例</t>
    </r>
    <r>
      <rPr>
        <sz val="9"/>
        <color theme="1"/>
        <rFont val="Calibri"/>
        <family val="2"/>
      </rPr>
      <t>(C33=55%)</t>
    </r>
  </si>
  <si>
    <r>
      <rPr>
        <sz val="9"/>
        <color theme="1"/>
        <rFont val="Calibri"/>
        <family val="2"/>
      </rPr>
      <t xml:space="preserve">12,407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</si>
  <si>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充电佣金 重要</t>
  </si>
  <si>
    <t>3.5 D65/E65</t>
  </si>
  <si>
    <r>
      <rPr>
        <b/>
        <sz val="9"/>
        <color theme="1"/>
        <rFont val="Noto Sans CJK SC"/>
        <family val="2"/>
      </rPr>
      <t xml:space="preserve">能源费 </t>
    </r>
    <r>
      <rPr>
        <b/>
        <sz val="9"/>
        <color theme="1"/>
        <rFont val="Calibri"/>
        <family val="2"/>
      </rPr>
      <t>× (</t>
    </r>
    <r>
      <rPr>
        <b/>
        <sz val="9"/>
        <color theme="1"/>
        <rFont val="Noto Sans CJK SC"/>
        <family val="2"/>
      </rPr>
      <t>服务费</t>
    </r>
    <r>
      <rPr>
        <b/>
        <sz val="9"/>
        <color theme="1"/>
        <rFont val="Calibri"/>
        <family val="2"/>
      </rPr>
      <t xml:space="preserve">0.3 ÷ </t>
    </r>
    <r>
      <rPr>
        <b/>
        <sz val="9"/>
        <color theme="1"/>
        <rFont val="Noto Sans CJK SC"/>
        <family val="2"/>
      </rPr>
      <t>电价</t>
    </r>
    <r>
      <rPr>
        <b/>
        <sz val="9"/>
        <color theme="1"/>
        <rFont val="Calibri"/>
        <family val="2"/>
      </rPr>
      <t xml:space="preserve">0.97) × </t>
    </r>
    <r>
      <rPr>
        <b/>
        <sz val="9"/>
        <color theme="1"/>
        <rFont val="Noto Sans CJK SC"/>
        <family val="2"/>
      </rPr>
      <t>返佣率</t>
    </r>
    <r>
      <rPr>
        <b/>
        <sz val="9"/>
        <color theme="1"/>
        <rFont val="Calibri"/>
        <family val="2"/>
      </rPr>
      <t xml:space="preserve">10%  </t>
    </r>
    <r>
      <rPr>
        <b/>
        <sz val="9"/>
        <color theme="1"/>
        <rFont val="Noto Sans CJK SC"/>
        <family val="2"/>
      </rPr>
      <t>注：仅对服务费部分，不含基础电费</t>
    </r>
    <r>
      <rPr>
        <b/>
        <sz val="9"/>
        <color theme="1"/>
        <rFont val="Calibri"/>
        <family val="2"/>
      </rPr>
      <t>0.67</t>
    </r>
  </si>
  <si>
    <r>
      <rPr>
        <b/>
        <sz val="9"/>
        <color theme="1"/>
        <rFont val="Calibri"/>
        <family val="2"/>
      </rPr>
      <t xml:space="preserve">833 </t>
    </r>
    <r>
      <rPr>
        <b/>
        <sz val="9"/>
        <color theme="1"/>
        <rFont val="Noto Sans CJK SC"/>
        <family val="2"/>
      </rPr>
      <t>元</t>
    </r>
    <r>
      <rPr>
        <b/>
        <sz val="9"/>
        <color theme="1"/>
        <rFont val="Calibri"/>
        <family val="2"/>
      </rPr>
      <t>/</t>
    </r>
    <r>
      <rPr>
        <b/>
        <sz val="9"/>
        <color theme="1"/>
        <rFont val="Noto Sans CJK SC"/>
        <family val="2"/>
      </rPr>
      <t>月</t>
    </r>
  </si>
  <si>
    <t>充电服务商净收益</t>
  </si>
  <si>
    <t>3.5 D66/E66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</si>
  <si>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Calibri"/>
        <family val="2"/>
      </rPr>
      <t xml:space="preserve">× (0.3÷0.97) × (1-10%)  </t>
    </r>
    <r>
      <rPr>
        <sz val="9"/>
        <color theme="1"/>
        <rFont val="Noto Sans CJK SC"/>
        <family val="2"/>
      </rPr>
      <t>充电商自留服务费</t>
    </r>
    <r>
      <rPr>
        <sz val="9"/>
        <color theme="1"/>
        <rFont val="Calibri"/>
        <family val="2"/>
      </rPr>
      <t>90%</t>
    </r>
  </si>
  <si>
    <r>
      <rPr>
        <sz val="9"/>
        <color theme="1"/>
        <rFont val="Calibri"/>
        <family val="2"/>
      </rPr>
      <t xml:space="preserve">7,498 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月</t>
    </r>
  </si>
  <si>
    <t>平台公司净收益</t>
  </si>
  <si>
    <t>Sheet4 F30/I30</t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</si>
  <si>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  租赁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车赁溢价</t>
    </r>
    <r>
      <rPr>
        <sz val="9"/>
        <color theme="1"/>
        <rFont val="Calibri"/>
        <family val="2"/>
      </rPr>
      <t>(200/</t>
    </r>
    <r>
      <rPr>
        <sz val="9"/>
        <color theme="1"/>
        <rFont val="Noto Sans CJK SC"/>
        <family val="2"/>
      </rPr>
      <t>台</t>
    </r>
    <r>
      <rPr>
        <sz val="9"/>
        <color theme="1"/>
        <rFont val="Calibri"/>
        <family val="2"/>
      </rPr>
      <t>)+</t>
    </r>
    <r>
      <rPr>
        <sz val="9"/>
        <color theme="1"/>
        <rFont val="Noto Sans CJK SC"/>
        <family val="2"/>
      </rPr>
      <t>信息费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增值返佣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</si>
  <si>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691/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899</t>
    </r>
    <r>
      <rPr>
        <sz val="9"/>
        <color theme="1"/>
        <rFont val="Noto Sans CJK SC"/>
        <family val="2"/>
      </rPr>
      <t>元</t>
    </r>
  </si>
  <si>
    <t>融资租赁成本</t>
  </si>
  <si>
    <t>3.5 E53</t>
  </si>
  <si>
    <r>
      <rPr>
        <sz val="9"/>
        <color theme="1"/>
        <rFont val="Noto Sans CJK SC"/>
        <family val="2"/>
      </rPr>
      <t xml:space="preserve">购置月均摊销 </t>
    </r>
    <r>
      <rPr>
        <sz val="9"/>
        <color theme="1"/>
        <rFont val="Calibri"/>
        <family val="2"/>
      </rPr>
      <t xml:space="preserve">× 1.15  </t>
    </r>
    <r>
      <rPr>
        <sz val="9"/>
        <color theme="1"/>
        <rFont val="Noto Sans CJK SC"/>
        <family val="2"/>
      </rPr>
      <t>持车平台净收益</t>
    </r>
    <r>
      <rPr>
        <sz val="9"/>
        <color theme="1"/>
        <rFont val="Calibri"/>
        <family val="2"/>
      </rPr>
      <t>=</t>
    </r>
    <r>
      <rPr>
        <sz val="9"/>
        <color theme="1"/>
        <rFont val="Noto Sans CJK SC"/>
        <family val="2"/>
      </rPr>
      <t>收入</t>
    </r>
    <r>
      <rPr>
        <sz val="9"/>
        <color theme="1"/>
        <rFont val="Calibri"/>
        <family val="2"/>
      </rPr>
      <t>×15%÷1.15</t>
    </r>
  </si>
  <si>
    <r>
      <rPr>
        <sz val="9"/>
        <color theme="1"/>
        <rFont val="Noto Sans CJK SC"/>
        <family val="2"/>
      </rPr>
      <t>成本</t>
    </r>
    <r>
      <rPr>
        <sz val="9"/>
        <color theme="1"/>
        <rFont val="Calibri"/>
        <family val="2"/>
      </rPr>
      <t>11,845/</t>
    </r>
    <r>
      <rPr>
        <sz val="9"/>
        <color theme="1"/>
        <rFont val="Noto Sans CJK SC"/>
        <family val="2"/>
      </rPr>
      <t>净利</t>
    </r>
    <r>
      <rPr>
        <sz val="9"/>
        <color theme="1"/>
        <rFont val="Calibri"/>
        <family val="2"/>
      </rPr>
      <t>1,545</t>
    </r>
    <r>
      <rPr>
        <sz val="9"/>
        <color theme="1"/>
        <rFont val="Noto Sans CJK SC"/>
        <family val="2"/>
      </rPr>
      <t>元</t>
    </r>
  </si>
  <si>
    <t>3.5 D89/E89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</si>
  <si>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  <r>
      <rPr>
        <sz val="9"/>
        <color theme="1"/>
        <rFont val="Calibri"/>
        <family val="2"/>
      </rPr>
      <t>(</t>
    </r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保险</t>
    </r>
    <r>
      <rPr>
        <sz val="9"/>
        <color theme="1"/>
        <rFont val="Calibri"/>
        <family val="2"/>
      </rPr>
      <t xml:space="preserve">) 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Calibri"/>
        <family val="2"/>
      </rPr>
      <t>(C34=25%)</t>
    </r>
  </si>
  <si>
    <r>
      <rPr>
        <sz val="9"/>
        <color theme="1"/>
        <rFont val="Noto Sans CJK SC"/>
        <family val="2"/>
      </rPr>
      <t>购置</t>
    </r>
    <r>
      <rPr>
        <sz val="9"/>
        <color theme="1"/>
        <rFont val="Calibri"/>
        <family val="2"/>
      </rPr>
      <t>317/</t>
    </r>
    <r>
      <rPr>
        <sz val="9"/>
        <color theme="1"/>
        <rFont val="Noto Sans CJK SC"/>
        <family val="2"/>
      </rPr>
      <t>租赁</t>
    </r>
    <r>
      <rPr>
        <sz val="9"/>
        <color theme="1"/>
        <rFont val="Calibri"/>
        <family val="2"/>
      </rPr>
      <t>400</t>
    </r>
    <r>
      <rPr>
        <sz val="9"/>
        <color theme="1"/>
        <rFont val="Noto Sans CJK SC"/>
        <family val="2"/>
      </rPr>
      <t>元</t>
    </r>
  </si>
  <si>
    <t>六、核心数据汇总（单车月度，基于当前参数）</t>
  </si>
  <si>
    <t>指标</t>
  </si>
  <si>
    <t>购置模式</t>
  </si>
  <si>
    <t>租赁模式</t>
  </si>
  <si>
    <t>差异</t>
  </si>
  <si>
    <t>说明</t>
  </si>
  <si>
    <t>运费总收入（元）</t>
  </si>
  <si>
    <t>两模式运费相同</t>
  </si>
  <si>
    <t>合同物流企业净收益</t>
  </si>
  <si>
    <t>租赁多车租账期利息</t>
  </si>
  <si>
    <t>物流服务公司净收益</t>
  </si>
  <si>
    <t>租赁须承担车辆租赁费，可分账额减少</t>
  </si>
  <si>
    <t>承运物流企业净收益</t>
  </si>
  <si>
    <t>随物流服务公司可分账额变动</t>
  </si>
  <si>
    <r>
      <rPr>
        <sz val="9"/>
        <color theme="1"/>
        <rFont val="Noto Sans CJK SC"/>
        <family val="2"/>
      </rPr>
      <t>租赁多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台车赁溢价</t>
    </r>
  </si>
  <si>
    <t>持车服务公司净收益</t>
  </si>
  <si>
    <t>购置无此收益</t>
  </si>
  <si>
    <t>持车平台净收益（融资利息）</t>
  </si>
  <si>
    <t>两模式能源费相同</t>
  </si>
  <si>
    <t>维保服务商净收益</t>
  </si>
  <si>
    <t>过路企业</t>
  </si>
  <si>
    <t>保险服务商净收益</t>
  </si>
  <si>
    <t>增值服务公司净收益</t>
  </si>
  <si>
    <t>租赁多保险佣金来源</t>
  </si>
  <si>
    <t>全参与方净收益合计</t>
  </si>
  <si>
    <t>购置模式综合收益更高</t>
  </si>
  <si>
    <r>
      <rPr>
        <b/>
        <sz val="9"/>
        <color rgb="FFFFFFFF"/>
        <rFont val="Noto Sans CJK SC"/>
        <family val="2"/>
      </rPr>
      <t>净收益</t>
    </r>
    <r>
      <rPr>
        <b/>
        <sz val="9"/>
        <color rgb="FFFFFFFF"/>
        <rFont val="Calibri"/>
        <family val="2"/>
      </rPr>
      <t>/</t>
    </r>
    <r>
      <rPr>
        <b/>
        <sz val="9"/>
        <color rgb="FFFFFFFF"/>
        <rFont val="Noto Sans CJK SC"/>
        <family val="2"/>
      </rPr>
      <t>运费比率</t>
    </r>
  </si>
  <si>
    <t>-16.3ppt</t>
  </si>
  <si>
    <t>购置模式经济性更优</t>
  </si>
  <si>
    <t>黄骅港电车物流项目-基础参数设置表</t>
  </si>
  <si>
    <t>一、运营基础参数</t>
  </si>
  <si>
    <t>数值</t>
  </si>
  <si>
    <t>单位</t>
  </si>
  <si>
    <t>来源</t>
  </si>
  <si>
    <t>元/吨</t>
  </si>
  <si>
    <t>每吨货物运输价格</t>
  </si>
  <si>
    <t>市场价格</t>
  </si>
  <si>
    <t>单边公里数</t>
  </si>
  <si>
    <t>公里</t>
  </si>
  <si>
    <t>单程运输距离</t>
  </si>
  <si>
    <t>实际路程测算</t>
  </si>
  <si>
    <t>双边公里数</t>
  </si>
  <si>
    <t>往返总距离</t>
  </si>
  <si>
    <t>载重</t>
  </si>
  <si>
    <t>吨</t>
  </si>
  <si>
    <t>单车额定载重</t>
  </si>
  <si>
    <t>车辆参数</t>
  </si>
  <si>
    <t>日趟数</t>
  </si>
  <si>
    <t>趟/日</t>
  </si>
  <si>
    <t>每车每日平均趟数</t>
  </si>
  <si>
    <t>运营规划</t>
  </si>
  <si>
    <t>工作日</t>
  </si>
  <si>
    <t>天/月</t>
  </si>
  <si>
    <t>每月实际工作天数</t>
  </si>
  <si>
    <t>趟/月</t>
  </si>
  <si>
    <t>每月总趟数</t>
  </si>
  <si>
    <t>计算值</t>
  </si>
  <si>
    <t>车队规模</t>
  </si>
  <si>
    <t>辆</t>
  </si>
  <si>
    <t>总运营车辆数</t>
  </si>
  <si>
    <t>项目规划</t>
  </si>
  <si>
    <t>购置车辆占比</t>
  </si>
  <si>
    <t>购置车辆比例</t>
  </si>
  <si>
    <t>资金规划</t>
  </si>
  <si>
    <t>租赁车辆占比</t>
  </si>
  <si>
    <t>租赁车辆比例</t>
  </si>
  <si>
    <t>购置车辆数量</t>
  </si>
  <si>
    <t>购置车辆总数</t>
  </si>
  <si>
    <t>租赁车辆数量</t>
  </si>
  <si>
    <t>租赁车辆总数</t>
  </si>
  <si>
    <t>二、财务与账期参数</t>
  </si>
  <si>
    <t>天</t>
  </si>
  <si>
    <t>货主付款周期</t>
  </si>
  <si>
    <t>合同约定</t>
  </si>
  <si>
    <t>租赁费支付周期</t>
  </si>
  <si>
    <t>租赁协议</t>
  </si>
  <si>
    <t>资金成本年化利率</t>
  </si>
  <si>
    <t>市场利率</t>
  </si>
  <si>
    <t>日利率</t>
  </si>
  <si>
    <t>日资金成本</t>
  </si>
  <si>
    <t>平台物流信息服务费率</t>
  </si>
  <si>
    <t>平台运输信息服务费率</t>
  </si>
  <si>
    <t>平台政策</t>
  </si>
  <si>
    <t>元/度</t>
  </si>
  <si>
    <t>充电桩服务费</t>
  </si>
  <si>
    <t>充电站定价</t>
  </si>
  <si>
    <t>充电服务费返佣率</t>
  </si>
  <si>
    <t>充电服务渠道返佣比例</t>
  </si>
  <si>
    <t>维保服务费返佣率</t>
  </si>
  <si>
    <t>维保服务渠道返佣比例</t>
  </si>
  <si>
    <t>保险服务费渠道佣金</t>
  </si>
  <si>
    <t>保险服务渠道佣金</t>
  </si>
  <si>
    <t>平台增值信息服务费</t>
  </si>
  <si>
    <t>平台增值信息服务费率</t>
  </si>
  <si>
    <t>税率</t>
  </si>
  <si>
    <t>运输服务增值税税率</t>
  </si>
  <si>
    <t>税务规定</t>
  </si>
  <si>
    <t>物流服务公司向承运方分配的比例</t>
  </si>
  <si>
    <t>增値服务公司返佣率（向平台公司）</t>
  </si>
  <si>
    <r>
      <rPr>
        <sz val="9"/>
        <color rgb="FF666666"/>
        <rFont val="Noto Sans SC"/>
        <family val="2"/>
        <charset val="134"/>
      </rPr>
      <t>BD</t>
    </r>
    <r>
      <rPr>
        <sz val="9"/>
        <color rgb="FF666666"/>
        <rFont val="Noto Sans CJK SC"/>
        <family val="2"/>
      </rPr>
      <t>渠道收益中向平台公司返佣的比例</t>
    </r>
  </si>
  <si>
    <t>三、运营数据汇总（可切换单车/车队）</t>
  </si>
  <si>
    <t>计算模式</t>
  </si>
  <si>
    <r>
      <rPr>
        <sz val="9"/>
        <color rgb="FF666666"/>
        <rFont val="微软雅黑"/>
        <family val="2"/>
        <charset val="134"/>
      </rPr>
      <t>(1=</t>
    </r>
    <r>
      <rPr>
        <sz val="9"/>
        <color rgb="FF666666"/>
        <rFont val="Noto Sans CJK SC"/>
        <family val="2"/>
      </rPr>
      <t>单车</t>
    </r>
    <r>
      <rPr>
        <sz val="9"/>
        <color rgb="FF666666"/>
        <rFont val="微软雅黑"/>
        <family val="2"/>
        <charset val="134"/>
      </rPr>
      <t>, 500=</t>
    </r>
    <r>
      <rPr>
        <sz val="9"/>
        <color rgb="FF666666"/>
        <rFont val="Noto Sans CJK SC"/>
        <family val="2"/>
      </rPr>
      <t>车队规模</t>
    </r>
    <r>
      <rPr>
        <sz val="9"/>
        <color rgb="FF666666"/>
        <rFont val="微软雅黑"/>
        <family val="2"/>
        <charset val="134"/>
      </rPr>
      <t>)</t>
    </r>
  </si>
  <si>
    <t>说明：修改此处数值可切换单车或车队计算</t>
  </si>
  <si>
    <t>计算车辆数</t>
  </si>
  <si>
    <t>根据模式自动切换</t>
  </si>
  <si>
    <t>单车月里程</t>
  </si>
  <si>
    <t>月趟数×双边公里</t>
  </si>
  <si>
    <t>单车月运输吨数</t>
  </si>
  <si>
    <t>月趟数×载重</t>
  </si>
  <si>
    <t>月度累计里程</t>
  </si>
  <si>
    <t>单车月里程×车辆数</t>
  </si>
  <si>
    <t>月度累计运输吨数</t>
  </si>
  <si>
    <t>单车运输吨数×车辆数</t>
  </si>
  <si>
    <t>月度累计能源消耗(去程)</t>
  </si>
  <si>
    <t>千度</t>
  </si>
  <si>
    <t>累计里程×去程耗电÷2×电价÷100</t>
  </si>
  <si>
    <t>月度累计能源消耗(回程)</t>
  </si>
  <si>
    <t>累计里程×回程耗电÷2×电价÷100</t>
  </si>
  <si>
    <t>月度累计能源消耗(总)</t>
  </si>
  <si>
    <t>去程+回程总能耗</t>
  </si>
  <si>
    <t>单车全生命周期成本测算表</t>
  </si>
  <si>
    <t>成本类别</t>
  </si>
  <si>
    <t>成本明细</t>
  </si>
  <si>
    <t>购置车辆成本</t>
  </si>
  <si>
    <t>租赁车辆成本</t>
  </si>
  <si>
    <t>购置单车月成本</t>
  </si>
  <si>
    <t>租赁单车月成本</t>
  </si>
  <si>
    <t>购置车队月成本</t>
  </si>
  <si>
    <t>租赁车队月成本</t>
  </si>
  <si>
    <t>车辆购置</t>
  </si>
  <si>
    <t>车头价格</t>
  </si>
  <si>
    <t>元/辆</t>
  </si>
  <si>
    <t>车头采购成本</t>
  </si>
  <si>
    <t>挂车价格</t>
  </si>
  <si>
    <t>挂车采购/租赁</t>
  </si>
  <si>
    <t>购车补贴</t>
  </si>
  <si>
    <t>政府购车补贴</t>
  </si>
  <si>
    <r>
      <rPr>
        <sz val="9"/>
        <rFont val="Noto Sans CJK SC"/>
        <family val="2"/>
      </rPr>
      <t>金融利息</t>
    </r>
    <r>
      <rPr>
        <sz val="9"/>
        <rFont val="宋体"/>
        <family val="3"/>
        <charset val="134"/>
      </rPr>
      <t>(36</t>
    </r>
    <r>
      <rPr>
        <sz val="9"/>
        <rFont val="Noto Sans CJK SC"/>
        <family val="2"/>
      </rPr>
      <t>期</t>
    </r>
    <r>
      <rPr>
        <sz val="9"/>
        <rFont val="宋体"/>
        <family val="3"/>
        <charset val="134"/>
      </rPr>
      <t>5.5%)</t>
    </r>
  </si>
  <si>
    <t>元</t>
  </si>
  <si>
    <t>贷款利息总额</t>
  </si>
  <si>
    <t>购置成本月均摊销</t>
  </si>
  <si>
    <t>元/月</t>
  </si>
  <si>
    <r>
      <rPr>
        <i/>
        <sz val="9"/>
        <rFont val="Noto Sans SC Light"/>
        <family val="2"/>
        <charset val="134"/>
      </rPr>
      <t>4</t>
    </r>
    <r>
      <rPr>
        <i/>
        <sz val="9"/>
        <rFont val="Noto Sans CJK SC"/>
        <family val="2"/>
      </rPr>
      <t>年摊销</t>
    </r>
  </si>
  <si>
    <t>租赁费用</t>
  </si>
  <si>
    <t>车辆月租金</t>
  </si>
  <si>
    <t>元/辆/月</t>
  </si>
  <si>
    <t>车头租金+振车摸销（48期）</t>
  </si>
  <si>
    <t>保险费用</t>
  </si>
  <si>
    <t>交强险</t>
  </si>
  <si>
    <t>元/年</t>
  </si>
  <si>
    <t>商业险</t>
  </si>
  <si>
    <t>超赔险</t>
  </si>
  <si>
    <t>保险小计</t>
  </si>
  <si>
    <t>能源费用</t>
  </si>
  <si>
    <t>电价</t>
  </si>
  <si>
    <t>满载百公里耗电</t>
  </si>
  <si>
    <t>度/百公里</t>
  </si>
  <si>
    <t>空载百公里耗电</t>
  </si>
  <si>
    <t>去程能耗成本</t>
  </si>
  <si>
    <t>元/趟</t>
  </si>
  <si>
    <t>下坡满载</t>
  </si>
  <si>
    <t>回程能耗成本</t>
  </si>
  <si>
    <t>上坡空载</t>
  </si>
  <si>
    <t>单趟能耗成本</t>
  </si>
  <si>
    <t>往返总成本</t>
  </si>
  <si>
    <t>月能源费用</t>
  </si>
  <si>
    <t>司机费用</t>
  </si>
  <si>
    <t>司机工资</t>
  </si>
  <si>
    <t>元/人/月</t>
  </si>
  <si>
    <t>人车比</t>
  </si>
  <si>
    <t>人/车</t>
  </si>
  <si>
    <t>双班制</t>
  </si>
  <si>
    <t>单车司机成本</t>
  </si>
  <si>
    <t>维保费用</t>
  </si>
  <si>
    <t>保养周期</t>
  </si>
  <si>
    <t>公里/次</t>
  </si>
  <si>
    <t>单次保养费用</t>
  </si>
  <si>
    <t>元/次</t>
  </si>
  <si>
    <t>每公里维保成本</t>
  </si>
  <si>
    <t>元/公里</t>
  </si>
  <si>
    <t>月维保费用</t>
  </si>
  <si>
    <t>管理费用</t>
  </si>
  <si>
    <t>管理人员工资</t>
  </si>
  <si>
    <t>管理人员配置</t>
  </si>
  <si>
    <t>人</t>
  </si>
  <si>
    <t>车管+调度</t>
  </si>
  <si>
    <t>可管理车辆数</t>
  </si>
  <si>
    <t>单车管理成本</t>
  </si>
  <si>
    <t>其他费用</t>
  </si>
  <si>
    <t>进场费</t>
  </si>
  <si>
    <t>税费</t>
  </si>
  <si>
    <t>增值税及附加(收入×9%)</t>
  </si>
  <si>
    <t>含在合计内（价税分离）</t>
  </si>
  <si>
    <t>月度成本合计</t>
  </si>
  <si>
    <t>详细边际成本分析</t>
  </si>
  <si>
    <t>成本项</t>
  </si>
  <si>
    <t>购置-单吨公里</t>
  </si>
  <si>
    <t>租赁-单吨公里</t>
  </si>
  <si>
    <t>购置-单吨每趟</t>
  </si>
  <si>
    <t>租赁-单吨每趟</t>
  </si>
  <si>
    <t>购置-单车公里</t>
  </si>
  <si>
    <t>租赁-单车公里</t>
  </si>
  <si>
    <t>购置-单车每趟</t>
  </si>
  <si>
    <t>租赁-单车每趟</t>
  </si>
  <si>
    <t>车辆购置成本</t>
  </si>
  <si>
    <t>总成本</t>
  </si>
  <si>
    <t>项目月度收益测算表</t>
  </si>
  <si>
    <t>项目</t>
  </si>
  <si>
    <t>计算口径</t>
  </si>
  <si>
    <t>购置单车</t>
  </si>
  <si>
    <t>租赁单车</t>
  </si>
  <si>
    <t>购置车队</t>
  </si>
  <si>
    <t>租赁车队</t>
  </si>
  <si>
    <t>一、营业收入</t>
  </si>
  <si>
    <t>运输收入</t>
  </si>
  <si>
    <t>运价×载重×月趟数</t>
  </si>
  <si>
    <t>二、营业成本</t>
  </si>
  <si>
    <t>引用成本表</t>
  </si>
  <si>
    <t>购置成本摊销</t>
  </si>
  <si>
    <t>车辆租金</t>
  </si>
  <si>
    <t>交强险+商业险+超赔险</t>
  </si>
  <si>
    <t>充电费用</t>
  </si>
  <si>
    <t>维修保养</t>
  </si>
  <si>
    <t>管理成本</t>
  </si>
  <si>
    <t>进场费等</t>
  </si>
  <si>
    <t>增值税及附加(9%)</t>
  </si>
  <si>
    <t>成本合计</t>
  </si>
  <si>
    <t>三、毛利润</t>
  </si>
  <si>
    <t>毛利润</t>
  </si>
  <si>
    <t>毛利率</t>
  </si>
  <si>
    <t>%</t>
  </si>
  <si>
    <t>月净现金流</t>
  </si>
  <si>
    <t>毛利-利息</t>
  </si>
  <si>
    <t>不含本金</t>
  </si>
  <si>
    <t>年化ROI</t>
  </si>
  <si>
    <t>年净利/投资额</t>
  </si>
  <si>
    <t>五、盈亏平衡分析</t>
  </si>
  <si>
    <t>盈亏平衡运价</t>
  </si>
  <si>
    <t>成本/载重/趟数</t>
  </si>
  <si>
    <t>保本运价</t>
  </si>
  <si>
    <t>盈亏平衡趟数</t>
  </si>
  <si>
    <t>成本/运价/载重</t>
  </si>
  <si>
    <t>保本趟数</t>
  </si>
  <si>
    <t>盈亏平衡载重</t>
  </si>
  <si>
    <t>成本/运价/趟数</t>
  </si>
  <si>
    <t>保本载重</t>
  </si>
  <si>
    <t>安全边际-运价</t>
  </si>
  <si>
    <r>
      <rPr>
        <sz val="9"/>
        <rFont val="Noto Sans SC Light"/>
        <family val="2"/>
        <charset val="134"/>
      </rPr>
      <t>(</t>
    </r>
    <r>
      <rPr>
        <sz val="9"/>
        <rFont val="Noto Sans CJK SC"/>
        <family val="2"/>
      </rPr>
      <t>当前</t>
    </r>
    <r>
      <rPr>
        <sz val="9"/>
        <rFont val="Noto Sans SC Light"/>
        <family val="2"/>
        <charset val="134"/>
      </rPr>
      <t>-</t>
    </r>
    <r>
      <rPr>
        <sz val="9"/>
        <rFont val="Noto Sans CJK SC"/>
        <family val="2"/>
      </rPr>
      <t>盈亏</t>
    </r>
    <r>
      <rPr>
        <sz val="9"/>
        <rFont val="Noto Sans SC Light"/>
        <family val="2"/>
        <charset val="134"/>
      </rPr>
      <t>)/</t>
    </r>
    <r>
      <rPr>
        <sz val="9"/>
        <rFont val="Noto Sans CJK SC"/>
        <family val="2"/>
      </rPr>
      <t>当前</t>
    </r>
  </si>
  <si>
    <t>价格下降空间</t>
  </si>
  <si>
    <t>安全边际-趟数</t>
  </si>
  <si>
    <t>业务量下降空间</t>
  </si>
  <si>
    <t>黄骅港电车物流项目 · 资金清分表</t>
  </si>
  <si>
    <t>【计算规模】</t>
  </si>
  <si>
    <t>辆（自动引用基础参数计算车辆数）</t>
  </si>
  <si>
    <r>
      <rPr>
        <i/>
        <sz val="9"/>
        <color rgb="FF0066CC"/>
        <rFont val="Noto Sans CJK SC"/>
        <family val="2"/>
      </rPr>
      <t>说明：清分表逐层拆解单笔运费的资金去向，购置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租赁两列并排对比，校验行确认各层分账之和等于输入。</t>
    </r>
  </si>
  <si>
    <t>清分层级 / 项目</t>
  </si>
  <si>
    <t>清分规则说明</t>
  </si>
  <si>
    <t>购置模式（元/月）</t>
  </si>
  <si>
    <t>租赁模式（元/月）</t>
  </si>
  <si>
    <t>差异（租赁-购置）</t>
  </si>
  <si>
    <t>占运费%（购置）</t>
  </si>
  <si>
    <t>占运费%（租赁）</t>
  </si>
  <si>
    <t>资金性质</t>
  </si>
  <si>
    <t>【第0层】货主支付运费（资金入口）</t>
  </si>
  <si>
    <t xml:space="preserve">  ① 月度运输总收入</t>
  </si>
  <si>
    <r>
      <rPr>
        <sz val="9"/>
        <color theme="1"/>
        <rFont val="Noto Sans CJK SC"/>
        <family val="2"/>
      </rPr>
      <t xml:space="preserve">运价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载重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月趣数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计算车辆数</t>
    </r>
  </si>
  <si>
    <t>运费收入</t>
  </si>
  <si>
    <t xml:space="preserve">  ↓ 全额流入合同物流企业</t>
  </si>
  <si>
    <t>货主按账期付款，合同物流企业为总包方</t>
  </si>
  <si>
    <t>【第1层】合同物流企业清分（总包方）</t>
  </si>
  <si>
    <t xml:space="preserve">  ① 运费账期收益（留存）</t>
  </si>
  <si>
    <r>
      <rPr>
        <sz val="9"/>
        <color theme="1"/>
        <rFont val="Noto Sans CJK SC"/>
        <family val="2"/>
      </rPr>
      <t xml:space="preserve">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运费账期天数</t>
    </r>
  </si>
  <si>
    <t>账期利差</t>
  </si>
  <si>
    <t xml:space="preserve">  ② 车租账期收益（留存）</t>
  </si>
  <si>
    <r>
      <rPr>
        <sz val="9"/>
        <color theme="1"/>
        <rFont val="Noto Sans CJK SC"/>
        <family val="2"/>
      </rPr>
      <t xml:space="preserve">车租金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 xml:space="preserve">日利率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车租账期天数（购置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</si>
  <si>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 xml:space="preserve">  ③ 平台信息服务费（支出）</t>
  </si>
  <si>
    <r>
      <rPr>
        <sz val="9"/>
        <color theme="1"/>
        <rFont val="Noto Sans CJK SC"/>
        <family val="2"/>
      </rPr>
      <t xml:space="preserve">转包金额 </t>
    </r>
    <r>
      <rPr>
        <sz val="9"/>
        <color theme="1"/>
        <rFont val="微软雅黑"/>
        <family val="2"/>
        <charset val="134"/>
      </rPr>
      <t>× 5‰</t>
    </r>
  </si>
  <si>
    <t>平台费</t>
  </si>
  <si>
    <t xml:space="preserve">  ④ 车辆租赁费（支出）</t>
  </si>
  <si>
    <r>
      <rPr>
        <sz val="9"/>
        <color theme="1"/>
        <rFont val="Noto Sans CJK SC"/>
        <family val="2"/>
      </rPr>
      <t xml:space="preserve">车辆月租金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车辆数（购置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</si>
  <si>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车辆成本</t>
  </si>
  <si>
    <t xml:space="preserve">  ⑤ → 转包给物流服务公司</t>
  </si>
  <si>
    <r>
      <rPr>
        <sz val="9"/>
        <color theme="1"/>
        <rFont val="Noto Sans CJK SC"/>
        <family val="2"/>
      </rPr>
      <t xml:space="preserve">运费总收入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 xml:space="preserve">车租 </t>
    </r>
    <r>
      <rPr>
        <sz val="9"/>
        <color theme="1"/>
        <rFont val="微软雅黑"/>
        <family val="2"/>
        <charset val="134"/>
      </rPr>
      <t xml:space="preserve">- </t>
    </r>
    <r>
      <rPr>
        <sz val="9"/>
        <color theme="1"/>
        <rFont val="Noto Sans CJK SC"/>
        <family val="2"/>
      </rPr>
      <t>账期收益</t>
    </r>
  </si>
  <si>
    <t>分包款</t>
  </si>
  <si>
    <t xml:space="preserve">  ★ 合同物流企业净收益</t>
  </si>
  <si>
    <t>账期利差收益（运费账期+车租账期）</t>
  </si>
  <si>
    <t>净收益</t>
  </si>
  <si>
    <t xml:space="preserve">  【校验】各项支出+净收益 = 运费总收入</t>
  </si>
  <si>
    <t>差异应为0</t>
  </si>
  <si>
    <t>校验</t>
  </si>
  <si>
    <r>
      <rPr>
        <i/>
        <sz val="9"/>
        <color rgb="FF595959"/>
        <rFont val="Calibri"/>
        <family val="2"/>
      </rPr>
      <t xml:space="preserve">  ↓ D16/E16 </t>
    </r>
    <r>
      <rPr>
        <i/>
        <sz val="9"/>
        <color rgb="FF595959"/>
        <rFont val="Noto Sans CJK SC"/>
        <family val="2"/>
      </rPr>
      <t xml:space="preserve">流入物流服务公司，租赁模式下 </t>
    </r>
    <r>
      <rPr>
        <i/>
        <sz val="9"/>
        <color rgb="FF595959"/>
        <rFont val="Calibri"/>
        <family val="2"/>
      </rPr>
      <t xml:space="preserve">E15 </t>
    </r>
    <r>
      <rPr>
        <i/>
        <sz val="9"/>
        <color rgb="FF595959"/>
        <rFont val="Noto Sans CJK SC"/>
        <family val="2"/>
      </rPr>
      <t>直接流入平台公司（车租链条）</t>
    </r>
  </si>
  <si>
    <t>同时：车租（租赁模式）直接流入平台公司</t>
  </si>
  <si>
    <t>【第2层】物流服务公司清分（运营主体）</t>
  </si>
  <si>
    <t xml:space="preserve">  收入：来自合同物流转包款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</si>
  <si>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层⑤转包金额</t>
    </r>
  </si>
  <si>
    <t>分包收入</t>
  </si>
  <si>
    <t xml:space="preserve">  ① 扣：能源费用（支出）</t>
  </si>
  <si>
    <r>
      <rPr>
        <sz val="9"/>
        <color theme="1"/>
        <rFont val="Noto Sans CJK SC"/>
        <family val="2"/>
      </rPr>
      <t>月趟数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单趟能耗成本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</si>
  <si>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能源成本</t>
  </si>
  <si>
    <t xml:space="preserve">  ② 扣：维保费用（支出）</t>
  </si>
  <si>
    <r>
      <rPr>
        <sz val="9"/>
        <color theme="1"/>
        <rFont val="Noto Sans CJK SC"/>
        <family val="2"/>
      </rPr>
      <t>每公里维保费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月里程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</si>
  <si>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维保成本</t>
  </si>
  <si>
    <t xml:space="preserve">  ③ 扣：司机成本（硬性，先扣）</t>
  </si>
  <si>
    <r>
      <rPr>
        <sz val="9"/>
        <color theme="1"/>
        <rFont val="Noto Sans CJK SC"/>
        <family val="2"/>
      </rPr>
      <t>司机工资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人车比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</si>
  <si>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>人工成本</t>
  </si>
  <si>
    <t xml:space="preserve">  ④ 扣：管理费用（硬性，先扣）</t>
  </si>
  <si>
    <r>
      <rPr>
        <sz val="9"/>
        <color theme="1"/>
        <rFont val="Noto Sans CJK SC"/>
        <family val="2"/>
      </rPr>
      <t>管理人员成本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</t>
    </r>
  </si>
  <si>
    <t xml:space="preserve">  ⑤ 净可分账额（分账基数）</t>
  </si>
  <si>
    <r>
      <rPr>
        <b/>
        <sz val="9"/>
        <color theme="1"/>
        <rFont val="Noto Sans CJK SC"/>
        <family val="2"/>
      </rPr>
      <t xml:space="preserve">转包收入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能源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维保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 xml:space="preserve">司机 </t>
    </r>
    <r>
      <rPr>
        <b/>
        <sz val="9"/>
        <color theme="1"/>
        <rFont val="微软雅黑"/>
        <family val="2"/>
        <charset val="134"/>
      </rPr>
      <t xml:space="preserve">- </t>
    </r>
    <r>
      <rPr>
        <b/>
        <sz val="9"/>
        <color theme="1"/>
        <rFont val="Noto Sans CJK SC"/>
        <family val="2"/>
      </rPr>
      <t>管理</t>
    </r>
  </si>
  <si>
    <t>分账基数</t>
  </si>
  <si>
    <t xml:space="preserve">  ⑥ → 承运方分账（参数可调）</t>
  </si>
  <si>
    <t>承运分包款</t>
  </si>
  <si>
    <t xml:space="preserve">  ★ 物流服务公司净收益留存</t>
  </si>
  <si>
    <t xml:space="preserve">  【校验】各项支出+净收益 = 转包收入</t>
  </si>
  <si>
    <r>
      <rPr>
        <i/>
        <sz val="9"/>
        <color rgb="FF595959"/>
        <rFont val="Calibri"/>
        <family val="2"/>
      </rPr>
      <t xml:space="preserve">  ↓ D28/E28 </t>
    </r>
    <r>
      <rPr>
        <i/>
        <sz val="9"/>
        <color rgb="FF595959"/>
        <rFont val="Noto Sans CJK SC"/>
        <family val="2"/>
      </rPr>
      <t>流入承运物流企业；能源费→充电服务商，由充电服务商向增值服务公司支付佣金；维保费→维保服务商，由维保服务商向增值服务公司支付佣金</t>
    </r>
  </si>
  <si>
    <t>2b. 平台公司清分（车赁收付链）</t>
  </si>
  <si>
    <t xml:space="preserve">  收入：车赁费来自合同物流企业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</si>
  <si>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Noto Sans CJK SC"/>
        <family val="2"/>
      </rPr>
      <t>层④车赁费（租赁模式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</si>
  <si>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车赁收入</t>
  </si>
  <si>
    <t xml:space="preserve">  ① 支：车赁费→持车服务公司</t>
  </si>
  <si>
    <r>
      <rPr>
        <sz val="9"/>
        <color theme="1"/>
        <rFont val="Noto Sans CJK SC"/>
        <family val="2"/>
      </rPr>
      <t xml:space="preserve">车赁费 </t>
    </r>
    <r>
      <rPr>
        <sz val="9"/>
        <color theme="1"/>
        <rFont val="微软雅黑"/>
        <family val="2"/>
        <charset val="134"/>
      </rPr>
      <t>- 200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台溢价（平台公司留存）</t>
    </r>
  </si>
  <si>
    <t>车赁支出</t>
  </si>
  <si>
    <t xml:space="preserve">  ★ 平台公司车赁净收益</t>
  </si>
  <si>
    <t>200元/台×车辆数（车赁溢价）</t>
  </si>
  <si>
    <t xml:space="preserve">  【校验】转付持车服务公司+净收益 = 车赁收入</t>
  </si>
  <si>
    <r>
      <rPr>
        <i/>
        <sz val="9"/>
        <color rgb="FF595959"/>
        <rFont val="Calibri"/>
        <family val="2"/>
      </rPr>
      <t xml:space="preserve">  ↓ D35/E35 </t>
    </r>
    <r>
      <rPr>
        <i/>
        <sz val="9"/>
        <color rgb="FF595959"/>
        <rFont val="Noto Sans CJK SC"/>
        <family val="2"/>
      </rPr>
      <t>流入持车服务公司；平台公司留存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/</t>
    </r>
    <r>
      <rPr>
        <i/>
        <sz val="9"/>
        <color rgb="FF595959"/>
        <rFont val="Noto Sans CJK SC"/>
        <family val="2"/>
      </rPr>
      <t>台溢价；购置模式无此分支</t>
    </r>
  </si>
  <si>
    <t>【第3层】承运物流企业清分（实际承运方）</t>
  </si>
  <si>
    <t xml:space="preserve">  收入：来自物流服务公司分包款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</si>
  <si>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层⑥承运方分账款（司机、管理已在第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层先扣）</t>
    </r>
  </si>
  <si>
    <t xml:space="preserve">  ① 扣：进场费用（支出）</t>
  </si>
  <si>
    <r>
      <rPr>
        <sz val="9"/>
        <color theme="1"/>
        <rFont val="Noto Sans CJK SC"/>
        <family val="2"/>
      </rPr>
      <t xml:space="preserve">进场费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车辆数</t>
    </r>
  </si>
  <si>
    <t>进场成本</t>
  </si>
  <si>
    <t xml:space="preserve">  ★ 承运物流企业经营利润</t>
  </si>
  <si>
    <t>分包收入 - 进场费（司机、管理已在第2层扣除）</t>
  </si>
  <si>
    <t>经营利润</t>
  </si>
  <si>
    <t xml:space="preserve">  【校验】进场费+经营利润 = 分包收入</t>
  </si>
  <si>
    <t xml:space="preserve">  ↓ 进场费→进场管理方；经营利润为承运方实际淨利。司机工资、管理费已由物流服务公司统一支付。</t>
  </si>
  <si>
    <t>3b. 持车服务公司清分（车赁支付方）</t>
  </si>
  <si>
    <t xml:space="preserve">  收入：车赁来自平台公司</t>
  </si>
  <si>
    <r>
      <rPr>
        <sz val="9"/>
        <color theme="1"/>
        <rFont val="微软雅黑"/>
        <family val="2"/>
        <charset val="134"/>
      </rPr>
      <t>2b①</t>
    </r>
    <r>
      <rPr>
        <sz val="9"/>
        <color theme="1"/>
        <rFont val="Noto Sans CJK SC"/>
        <family val="2"/>
      </rPr>
      <t>平台公司转付（车赁</t>
    </r>
    <r>
      <rPr>
        <sz val="9"/>
        <color theme="1"/>
        <rFont val="微软雅黑"/>
        <family val="2"/>
        <charset val="134"/>
      </rPr>
      <t>-200</t>
    </r>
    <r>
      <rPr>
        <sz val="9"/>
        <color theme="1"/>
        <rFont val="Noto Sans CJK SC"/>
        <family val="2"/>
      </rPr>
      <t>元溢价）</t>
    </r>
  </si>
  <si>
    <t xml:space="preserve">  ① 支：融资租赁成本→持车平台</t>
  </si>
  <si>
    <r>
      <rPr>
        <sz val="9"/>
        <color theme="1"/>
        <rFont val="Noto Sans CJK SC"/>
        <family val="2"/>
      </rPr>
      <t>车辆购置月均摔销</t>
    </r>
    <r>
      <rPr>
        <sz val="9"/>
        <color theme="1"/>
        <rFont val="微软雅黑"/>
        <family val="2"/>
        <charset val="134"/>
      </rPr>
      <t>×(1+15%)×</t>
    </r>
    <r>
      <rPr>
        <sz val="9"/>
        <color theme="1"/>
        <rFont val="Noto Sans CJK SC"/>
        <family val="2"/>
      </rPr>
      <t>车辆数</t>
    </r>
  </si>
  <si>
    <t xml:space="preserve">  ② 支：保险费→保险公司（购置模式）</t>
  </si>
  <si>
    <r>
      <rPr>
        <sz val="9"/>
        <color theme="1"/>
        <rFont val="Noto Sans CJK SC"/>
        <family val="2"/>
      </rPr>
      <t>保险小计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车辆数（购置模式有保险，租赁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</si>
  <si>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保险支出</t>
  </si>
  <si>
    <t xml:space="preserve">  ★ 持车服务公司净收益</t>
  </si>
  <si>
    <t>车赁收入 - 融资租赁成本 - 保险</t>
  </si>
  <si>
    <t xml:space="preserve">  【校验】持车平台+保险+净收益 = 车赁收入</t>
  </si>
  <si>
    <r>
      <rPr>
        <i/>
        <sz val="9"/>
        <color rgb="FF595959"/>
        <rFont val="Noto Sans CJK SC"/>
        <family val="2"/>
      </rPr>
      <t xml:space="preserve">  ↓ 融资租赁成本 </t>
    </r>
    <r>
      <rPr>
        <i/>
        <sz val="9"/>
        <color rgb="FF595959"/>
        <rFont val="Calibri"/>
        <family val="2"/>
      </rPr>
      <t xml:space="preserve">= </t>
    </r>
    <r>
      <rPr>
        <i/>
        <sz val="9"/>
        <color rgb="FF595959"/>
        <rFont val="Noto Sans CJK SC"/>
        <family val="2"/>
      </rPr>
      <t>车辆购置月均摔销</t>
    </r>
    <r>
      <rPr>
        <i/>
        <sz val="9"/>
        <color rgb="FF595959"/>
        <rFont val="Calibri"/>
        <family val="2"/>
      </rPr>
      <t>×115%</t>
    </r>
    <r>
      <rPr>
        <i/>
        <sz val="9"/>
        <color rgb="FF595959"/>
        <rFont val="Noto Sans CJK SC"/>
        <family val="2"/>
      </rPr>
      <t>（购置）</t>
    </r>
    <r>
      <rPr>
        <i/>
        <sz val="9"/>
        <color rgb="FF595959"/>
        <rFont val="Calibri"/>
        <family val="2"/>
      </rPr>
      <t>/ H10</t>
    </r>
    <r>
      <rPr>
        <i/>
        <sz val="9"/>
        <color rgb="FF595959"/>
        <rFont val="Noto Sans CJK SC"/>
        <family val="2"/>
      </rPr>
      <t>全额（科目内含</t>
    </r>
    <r>
      <rPr>
        <i/>
        <sz val="9"/>
        <color rgb="FF595959"/>
        <rFont val="Calibri"/>
        <family val="2"/>
      </rPr>
      <t>15%</t>
    </r>
    <r>
      <rPr>
        <i/>
        <sz val="9"/>
        <color rgb="FF595959"/>
        <rFont val="Noto Sans CJK SC"/>
        <family val="2"/>
      </rPr>
      <t>融资収益）（租赁）；保险费→保险公司；租赁模式平台</t>
    </r>
    <r>
      <rPr>
        <i/>
        <sz val="9"/>
        <color rgb="FF595959"/>
        <rFont val="Calibri"/>
        <family val="2"/>
      </rPr>
      <t>200</t>
    </r>
    <r>
      <rPr>
        <i/>
        <sz val="9"/>
        <color rgb="FF595959"/>
        <rFont val="Noto Sans CJK SC"/>
        <family val="2"/>
      </rPr>
      <t>元溢价由持车服务公司承担</t>
    </r>
  </si>
  <si>
    <t>【第4层】渠道服务商清分（佣金支付方）</t>
  </si>
  <si>
    <t>4a. 充电服务商清分</t>
  </si>
  <si>
    <t xml:space="preserve">  收入：来自物流服务公司能源费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</si>
  <si>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层①能源费用</t>
    </r>
  </si>
  <si>
    <t>能源收入</t>
  </si>
  <si>
    <t xml:space="preserve">  ① 支：基础电费→电力公司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</si>
  <si>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基础电费</t>
    </r>
    <r>
      <rPr>
        <sz val="9"/>
        <color theme="1"/>
        <rFont val="微软雅黑"/>
        <family val="2"/>
        <charset val="134"/>
      </rPr>
      <t>(0.67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)</t>
    </r>
  </si>
  <si>
    <t>基础电费</t>
  </si>
  <si>
    <t xml:space="preserve">  ② 支：渠道佣金→增値服务公司</t>
  </si>
  <si>
    <r>
      <rPr>
        <sz val="9"/>
        <color theme="1"/>
        <rFont val="Noto Sans CJK SC"/>
        <family val="2"/>
      </rPr>
      <t xml:space="preserve">能源费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服务费</t>
    </r>
    <r>
      <rPr>
        <sz val="9"/>
        <color theme="1"/>
        <rFont val="微软雅黑"/>
        <family val="2"/>
        <charset val="134"/>
      </rPr>
      <t>(0.3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÷ </t>
    </r>
    <r>
      <rPr>
        <sz val="9"/>
        <color theme="1"/>
        <rFont val="Noto Sans CJK SC"/>
        <family val="2"/>
      </rPr>
      <t>电价</t>
    </r>
    <r>
      <rPr>
        <sz val="9"/>
        <color theme="1"/>
        <rFont val="微软雅黑"/>
        <family val="2"/>
        <charset val="134"/>
      </rPr>
      <t>(0.97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 xml:space="preserve">) × </t>
    </r>
    <r>
      <rPr>
        <sz val="9"/>
        <color theme="1"/>
        <rFont val="Noto Sans CJK SC"/>
        <family val="2"/>
      </rPr>
      <t>分涡</t>
    </r>
    <r>
      <rPr>
        <sz val="9"/>
        <color theme="1"/>
        <rFont val="微软雅黑"/>
        <family val="2"/>
        <charset val="134"/>
      </rPr>
      <t>10%(C28)</t>
    </r>
  </si>
  <si>
    <t>渠道佣金</t>
  </si>
  <si>
    <t xml:space="preserve">  ★ 充电服务商净收益（服务费自留90%）</t>
  </si>
  <si>
    <t>能源费 × 服务费(0.3元) ÷ 电价(0.97元) ×(1-分涡10%)</t>
  </si>
  <si>
    <r>
      <rPr>
        <b/>
        <i/>
        <sz val="9"/>
        <color theme="1"/>
        <rFont val="Noto Sans CJK SC"/>
        <family val="2"/>
      </rPr>
      <t xml:space="preserve">  【校验】基础电费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>佣金</t>
    </r>
    <r>
      <rPr>
        <b/>
        <i/>
        <sz val="9"/>
        <color theme="1"/>
        <rFont val="微软雅黑"/>
        <family val="2"/>
        <charset val="134"/>
      </rPr>
      <t>+</t>
    </r>
    <r>
      <rPr>
        <b/>
        <i/>
        <sz val="9"/>
        <color theme="1"/>
        <rFont val="Noto Sans CJK SC"/>
        <family val="2"/>
      </rPr>
      <t xml:space="preserve">净收益 </t>
    </r>
    <r>
      <rPr>
        <b/>
        <i/>
        <sz val="9"/>
        <color theme="1"/>
        <rFont val="微软雅黑"/>
        <family val="2"/>
        <charset val="134"/>
      </rPr>
      <t xml:space="preserve">= </t>
    </r>
    <r>
      <rPr>
        <b/>
        <i/>
        <sz val="9"/>
        <color theme="1"/>
        <rFont val="Noto Sans CJK SC"/>
        <family val="2"/>
      </rPr>
      <t>能源费</t>
    </r>
  </si>
  <si>
    <r>
      <rPr>
        <b/>
        <i/>
        <sz val="9"/>
        <color theme="1"/>
        <rFont val="Noto Sans CJK SC"/>
        <family val="2"/>
      </rPr>
      <t>差异应为</t>
    </r>
    <r>
      <rPr>
        <b/>
        <i/>
        <sz val="9"/>
        <color theme="1"/>
        <rFont val="微软雅黑"/>
        <family val="2"/>
        <charset val="134"/>
      </rPr>
      <t>0</t>
    </r>
  </si>
  <si>
    <t>4b. 维保服务商清分</t>
  </si>
  <si>
    <t xml:space="preserve">  收入：来自物流服务公司维保费</t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</si>
  <si>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2</t>
    </r>
    <r>
      <rPr>
        <sz val="9"/>
        <color theme="1"/>
        <rFont val="Noto Sans CJK SC"/>
        <family val="2"/>
      </rPr>
      <t>层②维保费用</t>
    </r>
  </si>
  <si>
    <t>维保收入</t>
  </si>
  <si>
    <t xml:space="preserve">  ① 支：净维保费→维保服务商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</si>
  <si>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维保返佣率</t>
    </r>
    <r>
      <rPr>
        <sz val="9"/>
        <color theme="1"/>
        <rFont val="微软雅黑"/>
        <family val="2"/>
        <charset val="134"/>
      </rPr>
      <t>)</t>
    </r>
  </si>
  <si>
    <t>净维保费</t>
  </si>
  <si>
    <t xml:space="preserve">  ② 支：渠道佣金→增值服务公司</t>
  </si>
  <si>
    <r>
      <rPr>
        <sz val="9"/>
        <color theme="1"/>
        <rFont val="Noto Sans CJK SC"/>
        <family val="2"/>
      </rPr>
      <t>维保费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维保返佣率</t>
    </r>
  </si>
  <si>
    <t xml:space="preserve">  ★ 维保服务商净收益（0=过路）</t>
  </si>
  <si>
    <t>收入 - 净维保 - 佣金</t>
  </si>
  <si>
    <t xml:space="preserve">  【校验】净维保费+佣金 = 维保费</t>
  </si>
  <si>
    <r>
      <rPr>
        <i/>
        <sz val="9"/>
        <color rgb="FF595959"/>
        <rFont val="Noto Sans CJK SC"/>
        <family val="2"/>
      </rPr>
      <t xml:space="preserve">  ↓ 净电费→电力公司；净维保费→维保服务商；充电服务费返佣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 xml:space="preserve">维保佣金 </t>
    </r>
    <r>
      <rPr>
        <i/>
        <sz val="9"/>
        <color rgb="FF595959"/>
        <rFont val="Calibri"/>
        <family val="2"/>
      </rPr>
      <t xml:space="preserve">+ </t>
    </r>
    <r>
      <rPr>
        <i/>
        <sz val="9"/>
        <color rgb="FF595959"/>
        <rFont val="Noto Sans CJK SC"/>
        <family val="2"/>
      </rPr>
      <t>保险佣金 均→增值服务公司（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</t>
    </r>
  </si>
  <si>
    <t>4c. 保险公司清分</t>
  </si>
  <si>
    <t xml:space="preserve">  收入：保险费来自持车服务公司</t>
  </si>
  <si>
    <r>
      <rPr>
        <sz val="9"/>
        <color theme="1"/>
        <rFont val="微软雅黑"/>
        <family val="2"/>
        <charset val="134"/>
      </rPr>
      <t>3b②</t>
    </r>
    <r>
      <rPr>
        <sz val="9"/>
        <color theme="1"/>
        <rFont val="Noto Sans CJK SC"/>
        <family val="2"/>
      </rPr>
      <t>持车服务公司支付保险费（租赁</t>
    </r>
    <r>
      <rPr>
        <sz val="9"/>
        <color theme="1"/>
        <rFont val="微软雅黑"/>
        <family val="2"/>
        <charset val="134"/>
      </rPr>
      <t>=0</t>
    </r>
    <r>
      <rPr>
        <sz val="9"/>
        <color theme="1"/>
        <rFont val="Noto Sans CJK SC"/>
        <family val="2"/>
      </rPr>
      <t>）</t>
    </r>
  </si>
  <si>
    <t>保险收入</t>
  </si>
  <si>
    <t xml:space="preserve">  ① 支：净保险费→保险承保方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</si>
  <si>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×(1-</t>
    </r>
    <r>
      <rPr>
        <sz val="9"/>
        <color theme="1"/>
        <rFont val="Noto Sans CJK SC"/>
        <family val="2"/>
      </rPr>
      <t>保险渠道佣金率</t>
    </r>
    <r>
      <rPr>
        <sz val="9"/>
        <color theme="1"/>
        <rFont val="微软雅黑"/>
        <family val="2"/>
        <charset val="134"/>
      </rPr>
      <t>)</t>
    </r>
  </si>
  <si>
    <t>净保险费</t>
  </si>
  <si>
    <r>
      <rPr>
        <sz val="9"/>
        <color theme="1"/>
        <rFont val="Noto Sans CJK SC"/>
        <family val="2"/>
      </rPr>
      <t>保险费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保险渠道佣金率（</t>
    </r>
    <r>
      <rPr>
        <sz val="9"/>
        <color theme="1"/>
        <rFont val="微软雅黑"/>
        <family val="2"/>
        <charset val="134"/>
      </rPr>
      <t>C30=15%</t>
    </r>
    <r>
      <rPr>
        <sz val="9"/>
        <color theme="1"/>
        <rFont val="Noto Sans CJK SC"/>
        <family val="2"/>
      </rPr>
      <t>）</t>
    </r>
  </si>
  <si>
    <t xml:space="preserve">  ★ 保险公司净收益（0=过路）</t>
  </si>
  <si>
    <t>保险收入 - 净保险 - 佣金</t>
  </si>
  <si>
    <t xml:space="preserve">  【校验】净保险+佣金 = 保险费</t>
  </si>
  <si>
    <r>
      <rPr>
        <i/>
        <sz val="9"/>
        <color rgb="FF595959"/>
        <rFont val="Noto Sans CJK SC"/>
        <family val="2"/>
      </rPr>
      <t xml:space="preserve">  ↓ 净保险费→保险承保方；渠道佣金→增值服务公司（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渠道收益）；租赁模式保险</t>
    </r>
    <r>
      <rPr>
        <i/>
        <sz val="9"/>
        <color rgb="FF595959"/>
        <rFont val="Calibri"/>
        <family val="2"/>
      </rPr>
      <t>=0</t>
    </r>
    <r>
      <rPr>
        <i/>
        <sz val="9"/>
        <color rgb="FF595959"/>
        <rFont val="Noto Sans CJK SC"/>
        <family val="2"/>
      </rPr>
      <t>，这一分支无流量</t>
    </r>
  </si>
  <si>
    <t>【第5层】增値服务公司清分（BD渠道收益汇总）</t>
  </si>
  <si>
    <r>
      <rPr>
        <sz val="9"/>
        <color theme="1"/>
        <rFont val="Noto Sans CJK SC"/>
        <family val="2"/>
      </rPr>
      <t xml:space="preserve">  收入①：充电渠道佣金（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</si>
  <si>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4a</t>
    </r>
    <r>
      <rPr>
        <sz val="9"/>
        <color theme="1"/>
        <rFont val="Noto Sans CJK SC"/>
        <family val="2"/>
      </rPr>
      <t>层充电服务商支付佣金</t>
    </r>
  </si>
  <si>
    <t>充电佣金</t>
  </si>
  <si>
    <r>
      <rPr>
        <sz val="9"/>
        <color theme="1"/>
        <rFont val="Noto Sans CJK SC"/>
        <family val="2"/>
      </rPr>
      <t xml:space="preserve">  收入②：维保渠道佣金（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</si>
  <si>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4b</t>
    </r>
    <r>
      <rPr>
        <sz val="9"/>
        <color theme="1"/>
        <rFont val="Noto Sans CJK SC"/>
        <family val="2"/>
      </rPr>
      <t>层维保服务商支付佣金</t>
    </r>
  </si>
  <si>
    <t>维保佣金</t>
  </si>
  <si>
    <r>
      <rPr>
        <sz val="9"/>
        <color theme="1"/>
        <rFont val="Noto Sans CJK SC"/>
        <family val="2"/>
      </rPr>
      <t xml:space="preserve">  收入③：保险渠道佣金（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）</t>
    </r>
  </si>
  <si>
    <r>
      <rPr>
        <sz val="9"/>
        <color theme="1"/>
        <rFont val="Noto Sans CJK SC"/>
        <family val="2"/>
      </rPr>
      <t>第</t>
    </r>
    <r>
      <rPr>
        <sz val="9"/>
        <color theme="1"/>
        <rFont val="微软雅黑"/>
        <family val="2"/>
        <charset val="134"/>
      </rPr>
      <t>4c</t>
    </r>
    <r>
      <rPr>
        <sz val="9"/>
        <color theme="1"/>
        <rFont val="Noto Sans CJK SC"/>
        <family val="2"/>
      </rPr>
      <t>层保险公司支付佣金</t>
    </r>
  </si>
  <si>
    <t>保险佣金</t>
  </si>
  <si>
    <t xml:space="preserve">  小计：三类佣金合计</t>
  </si>
  <si>
    <r>
      <rPr>
        <b/>
        <sz val="9"/>
        <color theme="1"/>
        <rFont val="Noto Sans CJK SC"/>
        <family val="2"/>
      </rPr>
      <t xml:space="preserve">充电佣金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 xml:space="preserve">维保佣金 </t>
    </r>
    <r>
      <rPr>
        <b/>
        <sz val="9"/>
        <color theme="1"/>
        <rFont val="微软雅黑"/>
        <family val="2"/>
        <charset val="134"/>
      </rPr>
      <t xml:space="preserve">+ </t>
    </r>
    <r>
      <rPr>
        <b/>
        <sz val="9"/>
        <color theme="1"/>
        <rFont val="Noto Sans CJK SC"/>
        <family val="2"/>
      </rPr>
      <t>保险佣金</t>
    </r>
  </si>
  <si>
    <t>佣金合计</t>
  </si>
  <si>
    <r>
      <rPr>
        <sz val="9"/>
        <color theme="1"/>
        <rFont val="Noto Sans CJK SC"/>
        <family val="2"/>
      </rPr>
      <t xml:space="preserve">  ① 支：向平台公司返佣（</t>
    </r>
    <r>
      <rPr>
        <sz val="9"/>
        <color theme="1"/>
        <rFont val="微软雅黑"/>
        <family val="2"/>
        <charset val="134"/>
      </rPr>
      <t>BD</t>
    </r>
    <r>
      <rPr>
        <sz val="9"/>
        <color theme="1"/>
        <rFont val="Noto Sans CJK SC"/>
        <family val="2"/>
      </rPr>
      <t>成本）</t>
    </r>
  </si>
  <si>
    <r>
      <rPr>
        <sz val="9"/>
        <color theme="1"/>
        <rFont val="Noto Sans CJK SC"/>
        <family val="2"/>
      </rPr>
      <t xml:space="preserve">三类佣金合计 </t>
    </r>
    <r>
      <rPr>
        <sz val="9"/>
        <color theme="1"/>
        <rFont val="微软雅黑"/>
        <family val="2"/>
        <charset val="134"/>
      </rPr>
      <t xml:space="preserve">× </t>
    </r>
    <r>
      <rPr>
        <sz val="9"/>
        <color theme="1"/>
        <rFont val="Noto Sans CJK SC"/>
        <family val="2"/>
      </rPr>
      <t>返佣率</t>
    </r>
    <r>
      <rPr>
        <sz val="9"/>
        <color theme="1"/>
        <rFont val="微软雅黑"/>
        <family val="2"/>
        <charset val="134"/>
      </rPr>
      <t>(C34=25%)</t>
    </r>
  </si>
  <si>
    <t>返佣支出</t>
  </si>
  <si>
    <t xml:space="preserve">  ★ 增値服务公司净收益</t>
  </si>
  <si>
    <t>三类佣金合计 × (1 - 返佣率25%)</t>
  </si>
  <si>
    <r>
      <rPr>
        <i/>
        <sz val="9"/>
        <color theme="1"/>
        <rFont val="Noto Sans CJK SC"/>
        <family val="2"/>
      </rPr>
      <t xml:space="preserve">  【校验】返佣 </t>
    </r>
    <r>
      <rPr>
        <i/>
        <sz val="9"/>
        <color theme="1"/>
        <rFont val="微软雅黑"/>
        <family val="2"/>
        <charset val="134"/>
      </rPr>
      <t xml:space="preserve">+ </t>
    </r>
    <r>
      <rPr>
        <i/>
        <sz val="9"/>
        <color theme="1"/>
        <rFont val="Noto Sans CJK SC"/>
        <family val="2"/>
      </rPr>
      <t xml:space="preserve">净收益 </t>
    </r>
    <r>
      <rPr>
        <i/>
        <sz val="9"/>
        <color theme="1"/>
        <rFont val="微软雅黑"/>
        <family val="2"/>
        <charset val="134"/>
      </rPr>
      <t xml:space="preserve">= </t>
    </r>
    <r>
      <rPr>
        <i/>
        <sz val="9"/>
        <color theme="1"/>
        <rFont val="Noto Sans CJK SC"/>
        <family val="2"/>
      </rPr>
      <t>佣金合计</t>
    </r>
  </si>
  <si>
    <r>
      <rPr>
        <i/>
        <sz val="9"/>
        <color rgb="FF595959"/>
        <rFont val="Noto Sans CJK SC"/>
        <family val="2"/>
      </rPr>
      <t xml:space="preserve">  ↓ 增値服务公司汇聗</t>
    </r>
    <r>
      <rPr>
        <i/>
        <sz val="9"/>
        <color rgb="FF595959"/>
        <rFont val="Calibri"/>
        <family val="2"/>
      </rPr>
      <t>65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充电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</t>
    </r>
    <r>
      <rPr>
        <i/>
        <sz val="9"/>
        <color rgb="FF595959"/>
        <rFont val="Calibri"/>
        <family val="2"/>
      </rPr>
      <t>437</t>
    </r>
    <r>
      <rPr>
        <i/>
        <sz val="9"/>
        <color rgb="FF595959"/>
        <rFont val="Noto Sans CJK SC"/>
        <family val="2"/>
      </rPr>
      <t>元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维保</t>
    </r>
    <r>
      <rPr>
        <i/>
        <sz val="9"/>
        <color rgb="FF595959"/>
        <rFont val="Calibri"/>
        <family val="2"/>
      </rPr>
      <t>)</t>
    </r>
    <r>
      <rPr>
        <i/>
        <sz val="9"/>
        <color rgb="FF595959"/>
        <rFont val="Noto Sans CJK SC"/>
        <family val="2"/>
      </rPr>
      <t>、保险佣金</t>
    </r>
    <r>
      <rPr>
        <i/>
        <sz val="9"/>
        <color rgb="FF595959"/>
        <rFont val="Calibri"/>
        <family val="2"/>
      </rPr>
      <t>(</t>
    </r>
    <r>
      <rPr>
        <i/>
        <sz val="9"/>
        <color rgb="FF595959"/>
        <rFont val="Noto Sans CJK SC"/>
        <family val="2"/>
      </rPr>
      <t>租赁模式</t>
    </r>
    <r>
      <rPr>
        <i/>
        <sz val="9"/>
        <color rgb="FF595959"/>
        <rFont val="Calibri"/>
        <family val="2"/>
      </rPr>
      <t>)3</t>
    </r>
    <r>
      <rPr>
        <i/>
        <sz val="9"/>
        <color rgb="FF595959"/>
        <rFont val="Noto Sans CJK SC"/>
        <family val="2"/>
      </rPr>
      <t>类</t>
    </r>
    <r>
      <rPr>
        <i/>
        <sz val="9"/>
        <color rgb="FF595959"/>
        <rFont val="Calibri"/>
        <family val="2"/>
      </rPr>
      <t>BD</t>
    </r>
    <r>
      <rPr>
        <i/>
        <sz val="9"/>
        <color rgb="FF595959"/>
        <rFont val="Noto Sans CJK SC"/>
        <family val="2"/>
      </rPr>
      <t>渠道收益；按</t>
    </r>
    <r>
      <rPr>
        <i/>
        <sz val="9"/>
        <color rgb="FF595959"/>
        <rFont val="Calibri"/>
        <family val="2"/>
      </rPr>
      <t>C34</t>
    </r>
    <r>
      <rPr>
        <i/>
        <sz val="9"/>
        <color rgb="FF595959"/>
        <rFont val="Noto Sans CJK SC"/>
        <family val="2"/>
      </rPr>
      <t>比例返佣平台公司，自身留存</t>
    </r>
    <r>
      <rPr>
        <i/>
        <sz val="9"/>
        <color rgb="FF595959"/>
        <rFont val="Calibri"/>
        <family val="2"/>
      </rPr>
      <t>(1-C34)</t>
    </r>
  </si>
  <si>
    <t>相关方收益分配表</t>
  </si>
  <si>
    <t>说明：本表基于【3.5-资金清分】逐层拆解各参与方的收入、支出与净收益，购置/租赁两列并排对比。</t>
  </si>
  <si>
    <t>收支项目</t>
  </si>
  <si>
    <t>购置-收入
（元/月）</t>
  </si>
  <si>
    <t>购置-支出
（元/月）</t>
  </si>
  <si>
    <t>购置-净收益
（元/月）</t>
  </si>
  <si>
    <t>租赁-收入
（元/月）</t>
  </si>
  <si>
    <t>租赁-支出
（元/月）</t>
  </si>
  <si>
    <t>租赁-净收益
（元/月）</t>
  </si>
  <si>
    <t>备注</t>
  </si>
  <si>
    <t>1. 货主企业</t>
  </si>
  <si>
    <t>支付运费</t>
  </si>
  <si>
    <t>货主付款，无收益</t>
  </si>
  <si>
    <t>2. 合同物流企业</t>
  </si>
  <si>
    <t>从货主收款</t>
  </si>
  <si>
    <t>运费账期利息（留存）</t>
  </si>
  <si>
    <t>运费账期利差收益</t>
  </si>
  <si>
    <t>车租账期利息（留存）</t>
  </si>
  <si>
    <t>租赁账期利差收益（购置=0）</t>
  </si>
  <si>
    <t>平台信息服务费（支出）</t>
  </si>
  <si>
    <t>向平台公司支付，按转包金额×5‰</t>
  </si>
  <si>
    <t>车辆租赁费（支出）</t>
  </si>
  <si>
    <t>向平台公司支付租赁车辆（购置=0）</t>
  </si>
  <si>
    <t>转包款（支出）</t>
  </si>
  <si>
    <t>向物流服务公司支付转包款</t>
  </si>
  <si>
    <t>小计</t>
  </si>
  <si>
    <t>净收益=运费账期利息+车租账期利息</t>
  </si>
  <si>
    <t>3. 物流服务公司</t>
  </si>
  <si>
    <t>转包款收入</t>
  </si>
  <si>
    <t>来自合同物流企业转包</t>
  </si>
  <si>
    <t>能源费（支出）</t>
  </si>
  <si>
    <t>支付充电服务商</t>
  </si>
  <si>
    <t>维保费（支出）</t>
  </si>
  <si>
    <t>支付维保服务商</t>
  </si>
  <si>
    <t>司机成本（硬性支出）</t>
  </si>
  <si>
    <t>平台代付司机薪酬</t>
  </si>
  <si>
    <t>管理费用（硬性支出）</t>
  </si>
  <si>
    <t>管理人员成本</t>
  </si>
  <si>
    <t>承运方分包款（支出）</t>
  </si>
  <si>
    <t>按可分账额×55%支付承运方</t>
  </si>
  <si>
    <t>净收益=可分账额×45%留存</t>
  </si>
  <si>
    <t>4. 承运物流企业</t>
  </si>
  <si>
    <t>分包款收入</t>
  </si>
  <si>
    <t>来自物流服务公司分包（55%可分账额）</t>
  </si>
  <si>
    <t>进场费用（支出）</t>
  </si>
  <si>
    <t>向进场管理方支付</t>
  </si>
  <si>
    <t>净收益=分包款-进场费</t>
  </si>
  <si>
    <t>5. 平台公司</t>
  </si>
  <si>
    <t>车赁费收入</t>
  </si>
  <si>
    <t>合同物流企业车赁费（购置=0）</t>
  </si>
  <si>
    <t>平台信息服务费收入</t>
  </si>
  <si>
    <t>分包金额×5‰</t>
  </si>
  <si>
    <t>增値服务公司返佣收入</t>
  </si>
  <si>
    <t>BD返佣平台</t>
  </si>
  <si>
    <t>车赁转付持车服务公司（支出）</t>
  </si>
  <si>
    <t>购置=0</t>
  </si>
  <si>
    <t>购置=信息费+返佣；租赁另加车赁溢价+账期利</t>
  </si>
  <si>
    <t>6. 持车服务公司</t>
  </si>
  <si>
    <t>车赁收入（平台转付）</t>
  </si>
  <si>
    <t>融资租赁成本→持车平台（支出）</t>
  </si>
  <si>
    <t>购置=摆销×115%；租赁=H10全额</t>
  </si>
  <si>
    <t>保险费→保险公司（支出）</t>
  </si>
  <si>
    <t>购置有保险，租赁=0</t>
  </si>
  <si>
    <t>购置=摆销-融资-保险</t>
  </si>
  <si>
    <t>7. 持车平台</t>
  </si>
  <si>
    <t>融资租赁收入</t>
  </si>
  <si>
    <t>持车服务公司支付</t>
  </si>
  <si>
    <t>车辆融资本金成本（支出）</t>
  </si>
  <si>
    <t>融资本金=收入/1.15</t>
  </si>
  <si>
    <t>净收益=融资收入×15%/1.15</t>
  </si>
  <si>
    <t>8. 充电服务商</t>
  </si>
  <si>
    <t>能源费收入</t>
  </si>
  <si>
    <t>来自物流服务公司</t>
  </si>
  <si>
    <t>基础电费→电力公司（支出）</t>
  </si>
  <si>
    <t>能源费×0.67/0.97</t>
  </si>
  <si>
    <t>渠道佣金→增値公司（支出）</t>
  </si>
  <si>
    <t>服务费×0.3/0.97×10%</t>
  </si>
  <si>
    <t>净收益=服务费自喐90%</t>
  </si>
  <si>
    <t>9. 维保服务商</t>
  </si>
  <si>
    <t>维保费收入</t>
  </si>
  <si>
    <t>净维保费+渠道佣金（支出）</t>
  </si>
  <si>
    <t>过路=0</t>
  </si>
  <si>
    <t>过路企业，净收益=0</t>
  </si>
  <si>
    <t>10. 保险服务商</t>
  </si>
  <si>
    <t>保险费收入</t>
  </si>
  <si>
    <t>净保险费+渠道佣金（支出）</t>
  </si>
  <si>
    <t>购置=0，租赁有流量</t>
  </si>
  <si>
    <t>11. 增値服务公司</t>
  </si>
  <si>
    <t>充电/维保/保险佣金收入</t>
  </si>
  <si>
    <t>4a+4b+4c三类BD佣金</t>
  </si>
  <si>
    <t>返佣平台公司（支出）</t>
  </si>
  <si>
    <t>三类佣金合计×25%</t>
  </si>
  <si>
    <t>净收益=三类佣金×75%</t>
  </si>
  <si>
    <t>资金流向分析表</t>
  </si>
  <si>
    <r>
      <rPr>
        <i/>
        <sz val="9"/>
        <color rgb="FF0066CC"/>
        <rFont val="Noto Sans CJK SC"/>
        <family val="2"/>
      </rPr>
      <t>说明：本表基于【</t>
    </r>
    <r>
      <rPr>
        <i/>
        <sz val="9"/>
        <color rgb="FF0066CC"/>
        <rFont val="Calibri"/>
        <family val="2"/>
      </rPr>
      <t>3.5-</t>
    </r>
    <r>
      <rPr>
        <i/>
        <sz val="9"/>
        <color rgb="FF0066CC"/>
        <rFont val="Noto Sans CJK SC"/>
        <family val="2"/>
      </rPr>
      <t>资金清分】汇总各层级资金流转金额，购置</t>
    </r>
    <r>
      <rPr>
        <i/>
        <sz val="9"/>
        <color rgb="FF0066CC"/>
        <rFont val="Calibri"/>
        <family val="2"/>
      </rPr>
      <t>/</t>
    </r>
    <r>
      <rPr>
        <i/>
        <sz val="9"/>
        <color rgb="FF0066CC"/>
        <rFont val="Noto Sans CJK SC"/>
        <family val="2"/>
      </rPr>
      <t>租赁模式分列对比。</t>
    </r>
  </si>
  <si>
    <t>一、主要资金流向（月度）</t>
  </si>
  <si>
    <t>序号</t>
  </si>
  <si>
    <t>资金流向</t>
  </si>
  <si>
    <r>
      <rPr>
        <b/>
        <sz val="10"/>
        <color rgb="FFFFFFFF"/>
        <rFont val="Noto Sans CJK SC"/>
        <family val="2"/>
      </rPr>
      <t>购置模式金额（元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</si>
  <si>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租赁模式金额（元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</si>
  <si>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t>货主 → 合同物流企业</t>
  </si>
  <si>
    <t>运费</t>
  </si>
  <si>
    <t>货主支付全部运输费用</t>
  </si>
  <si>
    <t>合同物流 → 物流服务公司</t>
  </si>
  <si>
    <t>转包运费</t>
  </si>
  <si>
    <t>扣除账期收益后支付转包款</t>
  </si>
  <si>
    <t>合同物流 → 平台公司（车赁费）</t>
  </si>
  <si>
    <t>租赁费</t>
  </si>
  <si>
    <r>
      <rPr>
        <sz val="9"/>
        <color theme="1"/>
        <rFont val="Noto Sans CJK SC"/>
        <family val="2"/>
      </rPr>
      <t>车辆租赁费用（购置模式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</si>
  <si>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合同物流 → 平台公司（信息费）</t>
  </si>
  <si>
    <t>信息服务费</t>
  </si>
  <si>
    <r>
      <rPr>
        <sz val="9"/>
        <color theme="1"/>
        <rFont val="Noto Sans CJK SC"/>
        <family val="2"/>
      </rPr>
      <t>转包金额</t>
    </r>
    <r>
      <rPr>
        <sz val="9"/>
        <color theme="1"/>
        <rFont val="Calibri"/>
        <family val="2"/>
      </rPr>
      <t>x5‰</t>
    </r>
  </si>
  <si>
    <t>物流服务 → 承运物流企业</t>
  </si>
  <si>
    <t>承运费</t>
  </si>
  <si>
    <r>
      <rPr>
        <sz val="9"/>
        <color theme="1"/>
        <rFont val="Noto Sans CJK SC"/>
        <family val="2"/>
      </rPr>
      <t>按可分账额</t>
    </r>
    <r>
      <rPr>
        <sz val="9"/>
        <color theme="1"/>
        <rFont val="Calibri"/>
        <family val="2"/>
      </rPr>
      <t>x55%</t>
    </r>
    <r>
      <rPr>
        <sz val="9"/>
        <color theme="1"/>
        <rFont val="Noto Sans CJK SC"/>
        <family val="2"/>
      </rPr>
      <t>支付</t>
    </r>
  </si>
  <si>
    <t>物流服务 → 充电服务商</t>
  </si>
  <si>
    <t>能源费</t>
  </si>
  <si>
    <t>物流服务 → 维保服务商</t>
  </si>
  <si>
    <t>维保费</t>
  </si>
  <si>
    <t>车辆维修保养费用</t>
  </si>
  <si>
    <t>物流服务 → 承运方（司机成本）</t>
  </si>
  <si>
    <t>工资</t>
  </si>
  <si>
    <t>司机薪酬（硬性成本）</t>
  </si>
  <si>
    <t>物流服务 → 承运方（管理费用）</t>
  </si>
  <si>
    <t>管理费</t>
  </si>
  <si>
    <t>管理人员成本（硬性成本）</t>
  </si>
  <si>
    <t>平台公司 → 持车服务公司</t>
  </si>
  <si>
    <r>
      <rPr>
        <sz val="9"/>
        <color theme="1"/>
        <rFont val="Noto Sans CJK SC"/>
        <family val="2"/>
      </rPr>
      <t>扣除</t>
    </r>
    <r>
      <rPr>
        <sz val="9"/>
        <color theme="1"/>
        <rFont val="Calibri"/>
        <family val="2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台溢价后转付（购置</t>
    </r>
    <r>
      <rPr>
        <sz val="9"/>
        <color theme="1"/>
        <rFont val="Calibri"/>
        <family val="2"/>
      </rPr>
      <t>=0</t>
    </r>
    <r>
      <rPr>
        <sz val="9"/>
        <color theme="1"/>
        <rFont val="Noto Sans CJK SC"/>
        <family val="2"/>
      </rPr>
      <t>）</t>
    </r>
  </si>
  <si>
    <t>持车服务 → 持车平台（融资租赁）</t>
  </si>
  <si>
    <r>
      <rPr>
        <sz val="9"/>
        <color theme="1"/>
        <rFont val="Noto Sans CJK SC"/>
        <family val="2"/>
      </rPr>
      <t>车辆购置摸销</t>
    </r>
    <r>
      <rPr>
        <sz val="9"/>
        <color theme="1"/>
        <rFont val="Calibri"/>
        <family val="2"/>
      </rPr>
      <t>xd7115%</t>
    </r>
  </si>
  <si>
    <t>持车服务 → 保险服务商</t>
  </si>
  <si>
    <t>保险费</t>
  </si>
  <si>
    <t>车辆保险费用</t>
  </si>
  <si>
    <t>充电服务商 → 电力公司</t>
  </si>
  <si>
    <t>电费</t>
  </si>
  <si>
    <t>基础电费成本</t>
  </si>
  <si>
    <r>
      <rPr>
        <sz val="9"/>
        <color theme="1"/>
        <rFont val="Noto Sans CJK SC"/>
        <family val="2"/>
      </rPr>
      <t>服务商 → 增值服务公司（三类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佣金）</t>
    </r>
  </si>
  <si>
    <t>返佣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</si>
  <si>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佣金合计</t>
    </r>
  </si>
  <si>
    <t>增值服务公司 → 平台公司（返佣）</t>
  </si>
  <si>
    <r>
      <rPr>
        <sz val="9"/>
        <color theme="1"/>
        <rFont val="Noto Sans CJK SC"/>
        <family val="2"/>
      </rPr>
      <t>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xd725%</t>
    </r>
    <r>
      <rPr>
        <sz val="9"/>
        <color theme="1"/>
        <rFont val="Noto Sans CJK SC"/>
        <family val="2"/>
      </rPr>
      <t>返赠平台</t>
    </r>
  </si>
  <si>
    <t>二、各参与方月度净收益汇总</t>
  </si>
  <si>
    <r>
      <rPr>
        <b/>
        <sz val="10"/>
        <color rgb="FFFFFFFF"/>
        <rFont val="Noto Sans CJK SC"/>
        <family val="2"/>
      </rPr>
      <t>购置模式净收益（元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</si>
  <si>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租赁模式净收益（元</t>
    </r>
    <r>
      <rPr>
        <b/>
        <sz val="10"/>
        <color rgb="FFFFFFFF"/>
        <rFont val="Calibri"/>
        <family val="2"/>
      </rPr>
      <t>/</t>
    </r>
    <r>
      <rPr>
        <b/>
        <sz val="10"/>
        <color rgb="FFFFFFFF"/>
        <rFont val="Noto Sans CJK SC"/>
        <family val="2"/>
      </rPr>
      <t>月）</t>
    </r>
  </si>
  <si>
    <r>
      <rPr>
        <b/>
        <sz val="10"/>
        <color rgb="FFFFFFFF"/>
        <rFont val="Noto Sans CJK SC"/>
        <family val="2"/>
      </rPr>
      <t>购置占总利润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</si>
  <si>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租赁占总利润</t>
    </r>
    <r>
      <rPr>
        <b/>
        <sz val="10"/>
        <color rgb="FFFFFFFF"/>
        <rFont val="Calibri"/>
        <family val="2"/>
      </rPr>
      <t>%</t>
    </r>
  </si>
  <si>
    <t>业务角色</t>
  </si>
  <si>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渠道</t>
    </r>
  </si>
  <si>
    <t>实际承运</t>
  </si>
  <si>
    <t>资产持有</t>
  </si>
  <si>
    <t>融资持车</t>
  </si>
  <si>
    <t>能源供应</t>
  </si>
  <si>
    <t>维保服务</t>
  </si>
  <si>
    <t>保险服务</t>
  </si>
  <si>
    <t>合计</t>
  </si>
  <si>
    <r>
      <rPr>
        <b/>
        <sz val="12"/>
        <color rgb="FFFFFFFF"/>
        <rFont val="Noto Sans CJK SC"/>
        <family val="2"/>
      </rPr>
      <t>三、三大</t>
    </r>
    <r>
      <rPr>
        <b/>
        <sz val="12"/>
        <color rgb="FFFFFFFF"/>
        <rFont val="Calibri"/>
        <family val="2"/>
      </rPr>
      <t>BD</t>
    </r>
    <r>
      <rPr>
        <b/>
        <sz val="12"/>
        <color rgb="FFFFFFFF"/>
        <rFont val="Noto Sans CJK SC"/>
        <family val="2"/>
      </rPr>
      <t>渠道角色收益对比</t>
    </r>
  </si>
  <si>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角色</t>
    </r>
  </si>
  <si>
    <r>
      <rPr>
        <b/>
        <sz val="10"/>
        <color rgb="FFFFFFFF"/>
        <rFont val="Noto Sans CJK SC"/>
        <family val="2"/>
      </rPr>
      <t>购置占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</si>
  <si>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r>
      <rPr>
        <b/>
        <sz val="10"/>
        <color rgb="FFFFFFFF"/>
        <rFont val="Noto Sans CJK SC"/>
        <family val="2"/>
      </rPr>
      <t>租赁占</t>
    </r>
    <r>
      <rPr>
        <b/>
        <sz val="10"/>
        <color rgb="FFFFFFFF"/>
        <rFont val="Calibri"/>
        <family val="2"/>
      </rPr>
      <t>BD</t>
    </r>
    <r>
      <rPr>
        <b/>
        <sz val="10"/>
        <color rgb="FFFFFFFF"/>
        <rFont val="Noto Sans CJK SC"/>
        <family val="2"/>
      </rPr>
      <t>合计</t>
    </r>
    <r>
      <rPr>
        <b/>
        <sz val="10"/>
        <color rgb="FFFFFFFF"/>
        <rFont val="Calibri"/>
        <family val="2"/>
      </rPr>
      <t>%</t>
    </r>
  </si>
  <si>
    <t>主要业务</t>
  </si>
  <si>
    <r>
      <rPr>
        <sz val="9"/>
        <color theme="1"/>
        <rFont val="Noto Sans CJK SC"/>
        <family val="2"/>
      </rPr>
      <t>运费分账</t>
    </r>
    <r>
      <rPr>
        <sz val="9"/>
        <color theme="1"/>
        <rFont val="Calibri"/>
        <family val="2"/>
      </rPr>
      <t>+</t>
    </r>
    <r>
      <rPr>
        <sz val="9"/>
        <color theme="1"/>
        <rFont val="Noto Sans CJK SC"/>
        <family val="2"/>
      </rPr>
      <t>账期收益</t>
    </r>
  </si>
  <si>
    <t>物流运输渠道</t>
  </si>
  <si>
    <r>
      <rPr>
        <sz val="9"/>
        <color theme="1"/>
        <rFont val="Noto Sans CJK SC"/>
        <family val="2"/>
      </rPr>
      <t>车赁费收入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融资租赁</t>
    </r>
    <r>
      <rPr>
        <sz val="9"/>
        <color theme="1"/>
        <rFont val="Calibri"/>
        <family val="2"/>
      </rPr>
      <t>-</t>
    </r>
    <r>
      <rPr>
        <sz val="9"/>
        <color theme="1"/>
        <rFont val="Noto Sans CJK SC"/>
        <family val="2"/>
      </rPr>
      <t>保险</t>
    </r>
  </si>
  <si>
    <t>车辆资产渠道</t>
  </si>
  <si>
    <r>
      <rPr>
        <sz val="9"/>
        <color theme="1"/>
        <rFont val="Noto Sans CJK SC"/>
        <family val="2"/>
      </rPr>
      <t>充电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维保</t>
    </r>
    <r>
      <rPr>
        <sz val="9"/>
        <color theme="1"/>
        <rFont val="Calibri"/>
        <family val="2"/>
      </rPr>
      <t>/</t>
    </r>
    <r>
      <rPr>
        <sz val="9"/>
        <color theme="1"/>
        <rFont val="Noto Sans CJK SC"/>
        <family val="2"/>
      </rPr>
      <t>保险三类</t>
    </r>
    <r>
      <rPr>
        <sz val="9"/>
        <color theme="1"/>
        <rFont val="Calibri"/>
        <family val="2"/>
      </rPr>
      <t>BD</t>
    </r>
    <r>
      <rPr>
        <sz val="9"/>
        <color theme="1"/>
        <rFont val="Noto Sans CJK SC"/>
        <family val="2"/>
      </rPr>
      <t>佣金</t>
    </r>
    <r>
      <rPr>
        <sz val="9"/>
        <color theme="1"/>
        <rFont val="Calibri"/>
        <family val="2"/>
      </rPr>
      <t>×75%</t>
    </r>
  </si>
  <si>
    <t>增值服务渠道</t>
  </si>
  <si>
    <r>
      <rPr>
        <b/>
        <sz val="9"/>
        <color theme="1"/>
        <rFont val="Calibri"/>
        <family val="2"/>
      </rPr>
      <t>BD</t>
    </r>
    <r>
      <rPr>
        <b/>
        <sz val="9"/>
        <color theme="1"/>
        <rFont val="Noto Sans CJK SC"/>
        <family val="2"/>
      </rPr>
      <t>渠道合计</t>
    </r>
  </si>
  <si>
    <r>
      <rPr>
        <i/>
        <sz val="9"/>
        <color rgb="FF0066CC"/>
        <rFont val="Noto Sans CJK SC"/>
        <family val="2"/>
      </rPr>
      <t>购置模式持车服务公司收益</t>
    </r>
    <r>
      <rPr>
        <i/>
        <sz val="9"/>
        <color rgb="FF0066CC"/>
        <rFont val="Calibri"/>
        <family val="2"/>
      </rPr>
      <t>=0</t>
    </r>
    <r>
      <rPr>
        <i/>
        <sz val="9"/>
        <color rgb="FF0066CC"/>
        <rFont val="Noto Sans CJK SC"/>
        <family val="2"/>
      </rPr>
      <t>（无车赁）；租赁模式三大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渠道均可获益。平台公司为平台运营方（非纯商业性</t>
    </r>
    <r>
      <rPr>
        <i/>
        <sz val="9"/>
        <color rgb="FF0066CC"/>
        <rFont val="Calibri"/>
        <family val="2"/>
      </rPr>
      <t>BD</t>
    </r>
    <r>
      <rPr>
        <i/>
        <sz val="9"/>
        <color rgb="FF0066CC"/>
        <rFont val="Noto Sans CJK SC"/>
        <family val="2"/>
      </rPr>
      <t>渠道），单独列示于区块二。</t>
    </r>
  </si>
  <si>
    <t>关键参数敏感性分析</t>
  </si>
  <si>
    <t>说明：本表模拟关键参数变动对各参与方收益的影响，基于单车购置模式。所有公式独立计算，修改基础参数后自动刷新。</t>
  </si>
  <si>
    <t>一、运价敏感性分析</t>
  </si>
  <si>
    <t>变动幅度</t>
  </si>
  <si>
    <t>运价
（元/吨）</t>
  </si>
  <si>
    <t>月收入
（元）</t>
  </si>
  <si>
    <t>毛利润
（元）</t>
  </si>
  <si>
    <t>物流服务
公司净收益</t>
  </si>
  <si>
    <t>承运物流
企业净收益</t>
  </si>
  <si>
    <t>平台公司
净收益</t>
  </si>
  <si>
    <t>全参与方
净收益合计</t>
  </si>
  <si>
    <t>二、月趟数敏感性分析</t>
  </si>
  <si>
    <t>月趟数
（趟/月）</t>
  </si>
  <si>
    <t>三、双参数交叉矩阵：运价 × 承运方分账比例 → 物流服务公司净收益（元/月）</t>
  </si>
  <si>
    <t>运价 ↓ / 分账比例 →</t>
  </si>
  <si>
    <t>四、运价变动 → 各参与方净收益对比（购置 vs 租赁，元/月）</t>
  </si>
  <si>
    <t>合同物流
企业（购）</t>
  </si>
  <si>
    <t>合同物流
企业（租）</t>
  </si>
  <si>
    <t>物流服务
公司（购）</t>
  </si>
  <si>
    <t>物流服务
公司（租）</t>
  </si>
  <si>
    <t>承运方
（购）</t>
  </si>
  <si>
    <t>承运方
（租）</t>
  </si>
  <si>
    <t>全参与方
合计（购）</t>
  </si>
  <si>
    <t>全参与方
合计（租）</t>
  </si>
  <si>
    <t>持车公司财务分析</t>
  </si>
  <si>
    <r>
      <rPr>
        <i/>
        <sz val="9"/>
        <color rgb="FF0066CC"/>
        <rFont val="Noto Sans CJK SC"/>
        <family val="2"/>
      </rPr>
      <t>本页按“持车服务公司</t>
    </r>
    <r>
      <rPr>
        <i/>
        <sz val="9"/>
        <color rgb="FF0066CC"/>
        <rFont val="Calibri"/>
        <family val="2"/>
      </rPr>
      <t>+</t>
    </r>
    <r>
      <rPr>
        <i/>
        <sz val="9"/>
        <color rgb="FF0066CC"/>
        <rFont val="Noto Sans CJK SC"/>
        <family val="2"/>
      </rPr>
      <t>持车平台”合并口径测算，默认采用租赁模式全车队口径；收入取车赁全额，资本开支按车辆原值一次性投入，结果随基础参数自动联动。</t>
    </r>
  </si>
  <si>
    <t>关键假设</t>
  </si>
  <si>
    <t>关键结论</t>
  </si>
  <si>
    <t>说明/来源</t>
  </si>
  <si>
    <t>结果</t>
  </si>
  <si>
    <t>分析口径</t>
  </si>
  <si>
    <t>口径</t>
  </si>
  <si>
    <t>对应租赁模式持车主体</t>
  </si>
  <si>
    <t>总投资额</t>
  </si>
  <si>
    <t>万元</t>
  </si>
  <si>
    <r>
      <rPr>
        <sz val="9"/>
        <color theme="1"/>
        <rFont val="Noto Sans CJK SC"/>
        <family val="2"/>
      </rPr>
      <t>车辆数</t>
    </r>
    <r>
      <rPr>
        <sz val="9"/>
        <color theme="1"/>
        <rFont val="微软雅黑"/>
        <family val="2"/>
        <charset val="134"/>
      </rPr>
      <t>×</t>
    </r>
    <r>
      <rPr>
        <sz val="9"/>
        <color theme="1"/>
        <rFont val="Noto Sans CJK SC"/>
        <family val="2"/>
      </rPr>
      <t>单车购置成本</t>
    </r>
  </si>
  <si>
    <t>车辆数量</t>
  </si>
  <si>
    <t>取租赁车辆数量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</si>
  <si>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-</t>
    </r>
    <r>
      <rPr>
        <sz val="9"/>
        <color theme="1"/>
        <rFont val="Noto Sans CJK SC"/>
        <family val="2"/>
      </rPr>
      <t>借款本金</t>
    </r>
  </si>
  <si>
    <t>单车购置成本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</si>
  <si>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</si>
  <si>
    <t>年均营业收入</t>
  </si>
  <si>
    <t>利润表年均值</t>
  </si>
  <si>
    <t>单车借款本金</t>
  </si>
  <si>
    <r>
      <rPr>
        <sz val="9"/>
        <color theme="1"/>
        <rFont val="Noto Sans CJK SC"/>
        <family val="2"/>
      </rPr>
      <t>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融资</t>
    </r>
  </si>
  <si>
    <t>年均净利润</t>
  </si>
  <si>
    <t>融资年利率</t>
  </si>
  <si>
    <t>引用基础参数</t>
  </si>
  <si>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年累计净利润</t>
    </r>
  </si>
  <si>
    <t>利润表累计值</t>
  </si>
  <si>
    <t>融资期限</t>
  </si>
  <si>
    <t>月</t>
  </si>
  <si>
    <t>与单车成本表金融利息口径一致</t>
  </si>
  <si>
    <r>
      <rPr>
        <sz val="9"/>
        <color theme="1"/>
        <rFont val="Noto Sans CJK SC"/>
        <family val="2"/>
      </rPr>
      <t>总投资</t>
    </r>
    <r>
      <rPr>
        <sz val="9"/>
        <color theme="1"/>
        <rFont val="微软雅黑"/>
        <family val="2"/>
        <charset val="134"/>
      </rPr>
      <t>ROI</t>
    </r>
  </si>
  <si>
    <r>
      <rPr>
        <sz val="9"/>
        <color theme="1"/>
        <rFont val="Noto Sans CJK SC"/>
        <family val="2"/>
      </rPr>
      <t>累计净利润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总投资</t>
    </r>
  </si>
  <si>
    <t>折旧年限</t>
  </si>
  <si>
    <t>年</t>
  </si>
  <si>
    <r>
      <rPr>
        <sz val="9"/>
        <color theme="1"/>
        <rFont val="Noto Sans CJK SC"/>
        <family val="2"/>
      </rPr>
      <t>与当前模型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年摊销一致</t>
    </r>
  </si>
  <si>
    <r>
      <rPr>
        <sz val="9"/>
        <color theme="1"/>
        <rFont val="Noto Sans CJK SC"/>
        <family val="2"/>
      </rPr>
      <t>股权</t>
    </r>
    <r>
      <rPr>
        <sz val="9"/>
        <color theme="1"/>
        <rFont val="微软雅黑"/>
        <family val="2"/>
        <charset val="134"/>
      </rPr>
      <t>IRR</t>
    </r>
  </si>
  <si>
    <t>基于股权自由现金流</t>
  </si>
  <si>
    <t>所得税率</t>
  </si>
  <si>
    <t>可手动调整的假设</t>
  </si>
  <si>
    <t>现金回收倍数</t>
  </si>
  <si>
    <t>x</t>
  </si>
  <si>
    <r>
      <rPr>
        <sz val="9"/>
        <color theme="1"/>
        <rFont val="Noto Sans CJK SC"/>
        <family val="2"/>
      </rPr>
      <t>累计回款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初始股权投入</t>
    </r>
  </si>
  <si>
    <t>单车月租金收入</t>
  </si>
  <si>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辆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月</t>
    </r>
  </si>
  <si>
    <r>
      <rPr>
        <sz val="9"/>
        <color theme="1"/>
        <rFont val="Noto Sans CJK SC"/>
        <family val="2"/>
      </rPr>
      <t>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>台溢价</t>
    </r>
  </si>
  <si>
    <t>静态回收期</t>
  </si>
  <si>
    <t>基于累计股权现金流</t>
  </si>
  <si>
    <t>单车月保险成本</t>
  </si>
  <si>
    <t>引用持车服务公司保险支出</t>
  </si>
  <si>
    <t>单车月债务本息</t>
  </si>
  <si>
    <r>
      <rPr>
        <sz val="9"/>
        <color theme="1"/>
        <rFont val="Noto Sans CJK SC"/>
        <family val="2"/>
      </rPr>
      <t>本金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>利息的月度合计</t>
    </r>
  </si>
  <si>
    <t>一、利润表（合并口径，元/年）</t>
  </si>
  <si>
    <t>Year1</t>
  </si>
  <si>
    <t>Year2</t>
  </si>
  <si>
    <t>Year3</t>
  </si>
  <si>
    <t>Year4</t>
  </si>
  <si>
    <t>4年累计</t>
  </si>
  <si>
    <t>年均</t>
  </si>
  <si>
    <t>营业收入</t>
  </si>
  <si>
    <t>车赁收入（含平台溢价）</t>
  </si>
  <si>
    <t>保险成本</t>
  </si>
  <si>
    <t>持车服务公司承担的保险费</t>
  </si>
  <si>
    <t>EBITDA</t>
  </si>
  <si>
    <r>
      <rPr>
        <b/>
        <sz val="9"/>
        <rFont val="Noto Sans CJK SC"/>
        <family val="2"/>
      </rPr>
      <t>收入</t>
    </r>
    <r>
      <rPr>
        <b/>
        <sz val="9"/>
        <rFont val="微软雅黑"/>
        <family val="2"/>
        <charset val="134"/>
      </rPr>
      <t>-</t>
    </r>
    <r>
      <rPr>
        <b/>
        <sz val="9"/>
        <rFont val="Noto Sans CJK SC"/>
        <family val="2"/>
      </rPr>
      <t>经营成本</t>
    </r>
  </si>
  <si>
    <t>折旧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</si>
  <si>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</t>
    </r>
  </si>
  <si>
    <t>EBIT</t>
  </si>
  <si>
    <t>利息费用</t>
  </si>
  <si>
    <r>
      <rPr>
        <sz val="9"/>
        <color theme="1"/>
        <rFont val="Noto Sans CJK SC"/>
        <family val="2"/>
      </rPr>
      <t>按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个月贷款测算</t>
    </r>
  </si>
  <si>
    <t>税前利润</t>
  </si>
  <si>
    <r>
      <rPr>
        <sz val="9"/>
        <color theme="1"/>
        <rFont val="微软雅黑"/>
        <family val="2"/>
        <charset val="134"/>
      </rPr>
      <t>EBIT-</t>
    </r>
    <r>
      <rPr>
        <sz val="9"/>
        <color theme="1"/>
        <rFont val="Noto Sans CJK SC"/>
        <family val="2"/>
      </rPr>
      <t>利息费用</t>
    </r>
  </si>
  <si>
    <t>所得税</t>
  </si>
  <si>
    <r>
      <rPr>
        <sz val="9"/>
        <color theme="1"/>
        <rFont val="Noto Sans CJK SC"/>
        <family val="2"/>
      </rPr>
      <t>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，可调整</t>
    </r>
  </si>
  <si>
    <t>净利润</t>
  </si>
  <si>
    <t>税后利润</t>
  </si>
  <si>
    <t>二、现金流量表（股权口径，元）</t>
  </si>
  <si>
    <t>Year0</t>
  </si>
  <si>
    <t>与利润表联动</t>
  </si>
  <si>
    <t>加：折旧</t>
  </si>
  <si>
    <t>非现金费用加回</t>
  </si>
  <si>
    <t>经营现金流</t>
  </si>
  <si>
    <r>
      <rPr>
        <b/>
        <sz val="9"/>
        <rFont val="Noto Sans CJK SC"/>
        <family val="2"/>
      </rPr>
      <t>净利润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折旧</t>
    </r>
  </si>
  <si>
    <t>资本开支</t>
  </si>
  <si>
    <r>
      <rPr>
        <sz val="9"/>
        <color theme="1"/>
        <rFont val="微软雅黑"/>
        <family val="2"/>
        <charset val="134"/>
      </rPr>
      <t>Year0</t>
    </r>
    <r>
      <rPr>
        <sz val="9"/>
        <color theme="1"/>
        <rFont val="Noto Sans CJK SC"/>
        <family val="2"/>
      </rPr>
      <t>一次性购置车辆</t>
    </r>
  </si>
  <si>
    <t>新增借款</t>
  </si>
  <si>
    <t>偿还本金</t>
  </si>
  <si>
    <t>按等额本息分年还本</t>
  </si>
  <si>
    <t>支付利息</t>
  </si>
  <si>
    <t>与利润表利息一致</t>
  </si>
  <si>
    <t>股权自由现金流</t>
  </si>
  <si>
    <r>
      <rPr>
        <b/>
        <sz val="9"/>
        <rFont val="Noto Sans CJK SC"/>
        <family val="2"/>
      </rPr>
      <t>经营现金流</t>
    </r>
    <r>
      <rPr>
        <b/>
        <sz val="9"/>
        <rFont val="微软雅黑"/>
        <family val="2"/>
        <charset val="134"/>
      </rPr>
      <t>+</t>
    </r>
    <r>
      <rPr>
        <b/>
        <sz val="9"/>
        <rFont val="Noto Sans CJK SC"/>
        <family val="2"/>
      </rPr>
      <t>投融资现金流</t>
    </r>
  </si>
  <si>
    <t>用于测算回收期</t>
  </si>
  <si>
    <t>三、投资收益ROI测算</t>
  </si>
  <si>
    <t>口径说明</t>
  </si>
  <si>
    <r>
      <rPr>
        <sz val="9"/>
        <color theme="1"/>
        <rFont val="Noto Sans CJK SC"/>
        <family val="2"/>
      </rPr>
      <t xml:space="preserve">测算口径说明：
</t>
    </r>
    <r>
      <rPr>
        <sz val="9"/>
        <color theme="1"/>
        <rFont val="微软雅黑"/>
        <family val="2"/>
        <charset val="134"/>
      </rPr>
      <t xml:space="preserve">1) </t>
    </r>
    <r>
      <rPr>
        <sz val="9"/>
        <color theme="1"/>
        <rFont val="Noto Sans CJK SC"/>
        <family val="2"/>
      </rPr>
      <t>本页按“持车服务公司</t>
    </r>
    <r>
      <rPr>
        <sz val="9"/>
        <color theme="1"/>
        <rFont val="微软雅黑"/>
        <family val="2"/>
        <charset val="134"/>
      </rPr>
      <t>+</t>
    </r>
    <r>
      <rPr>
        <sz val="9"/>
        <color theme="1"/>
        <rFont val="Noto Sans CJK SC"/>
        <family val="2"/>
      </rPr>
      <t xml:space="preserve">持车平台”合并口径分析，避免内部车赁转付重复计算；
</t>
    </r>
    <r>
      <rPr>
        <sz val="9"/>
        <color theme="1"/>
        <rFont val="微软雅黑"/>
        <family val="2"/>
        <charset val="134"/>
      </rPr>
      <t xml:space="preserve">2) </t>
    </r>
    <r>
      <rPr>
        <sz val="9"/>
        <color theme="1"/>
        <rFont val="Noto Sans CJK SC"/>
        <family val="2"/>
      </rPr>
      <t>收入采用车赁全额（含平台</t>
    </r>
    <r>
      <rPr>
        <sz val="9"/>
        <color theme="1"/>
        <rFont val="微软雅黑"/>
        <family val="2"/>
        <charset val="134"/>
      </rPr>
      <t>200</t>
    </r>
    <r>
      <rPr>
        <sz val="9"/>
        <color theme="1"/>
        <rFont val="Noto Sans CJK SC"/>
        <family val="2"/>
      </rPr>
      <t>元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Noto Sans CJK SC"/>
        <family val="2"/>
      </rPr>
      <t xml:space="preserve">台溢价），保险费按现有清分表引用；
</t>
    </r>
    <r>
      <rPr>
        <sz val="9"/>
        <color theme="1"/>
        <rFont val="微软雅黑"/>
        <family val="2"/>
        <charset val="134"/>
      </rPr>
      <t xml:space="preserve">3) </t>
    </r>
    <r>
      <rPr>
        <sz val="9"/>
        <color theme="1"/>
        <rFont val="Noto Sans CJK SC"/>
        <family val="2"/>
      </rPr>
      <t>资本开支按车辆原值一次性投入，借款按车头</t>
    </r>
    <r>
      <rPr>
        <sz val="9"/>
        <color theme="1"/>
        <rFont val="微软雅黑"/>
        <family val="2"/>
        <charset val="134"/>
      </rPr>
      <t>90%</t>
    </r>
    <r>
      <rPr>
        <sz val="9"/>
        <color theme="1"/>
        <rFont val="Noto Sans CJK SC"/>
        <family val="2"/>
      </rPr>
      <t>、</t>
    </r>
    <r>
      <rPr>
        <sz val="9"/>
        <color theme="1"/>
        <rFont val="微软雅黑"/>
        <family val="2"/>
        <charset val="134"/>
      </rPr>
      <t>36</t>
    </r>
    <r>
      <rPr>
        <sz val="9"/>
        <color theme="1"/>
        <rFont val="Noto Sans CJK SC"/>
        <family val="2"/>
      </rPr>
      <t>个月、</t>
    </r>
    <r>
      <rPr>
        <sz val="9"/>
        <color theme="1"/>
        <rFont val="微软雅黑"/>
        <family val="2"/>
        <charset val="134"/>
      </rPr>
      <t>5.5%</t>
    </r>
    <r>
      <rPr>
        <sz val="9"/>
        <color theme="1"/>
        <rFont val="Noto Sans CJK SC"/>
        <family val="2"/>
      </rPr>
      <t xml:space="preserve">年利率测算；
</t>
    </r>
    <r>
      <rPr>
        <sz val="9"/>
        <color theme="1"/>
        <rFont val="微软雅黑"/>
        <family val="2"/>
        <charset val="134"/>
      </rPr>
      <t xml:space="preserve">4) </t>
    </r>
    <r>
      <rPr>
        <sz val="9"/>
        <color theme="1"/>
        <rFont val="Noto Sans CJK SC"/>
        <family val="2"/>
      </rPr>
      <t>折旧采用</t>
    </r>
    <r>
      <rPr>
        <sz val="9"/>
        <color theme="1"/>
        <rFont val="微软雅黑"/>
        <family val="2"/>
        <charset val="134"/>
      </rPr>
      <t>4</t>
    </r>
    <r>
      <rPr>
        <sz val="9"/>
        <color theme="1"/>
        <rFont val="Noto Sans CJK SC"/>
        <family val="2"/>
      </rPr>
      <t>年直线法；所得税率默认</t>
    </r>
    <r>
      <rPr>
        <sz val="9"/>
        <color theme="1"/>
        <rFont val="微软雅黑"/>
        <family val="2"/>
        <charset val="134"/>
      </rPr>
      <t>25%</t>
    </r>
    <r>
      <rPr>
        <sz val="9"/>
        <color theme="1"/>
        <rFont val="Noto Sans CJK SC"/>
        <family val="2"/>
      </rPr>
      <t>，可在</t>
    </r>
    <r>
      <rPr>
        <sz val="9"/>
        <color theme="1"/>
        <rFont val="微软雅黑"/>
        <family val="2"/>
        <charset val="134"/>
      </rPr>
      <t>C14</t>
    </r>
    <r>
      <rPr>
        <sz val="9"/>
        <color theme="1"/>
        <rFont val="Noto Sans CJK SC"/>
        <family val="2"/>
      </rPr>
      <t>手动调整。</t>
    </r>
  </si>
  <si>
    <t>利润表净利润累计值</t>
  </si>
  <si>
    <r>
      <rPr>
        <sz val="9"/>
        <color theme="1"/>
        <rFont val="Noto Sans CJK SC"/>
        <family val="2"/>
      </rPr>
      <t>基于</t>
    </r>
    <r>
      <rPr>
        <sz val="9"/>
        <color theme="1"/>
        <rFont val="微软雅黑"/>
        <family val="2"/>
        <charset val="134"/>
      </rPr>
      <t>Year0~Year4</t>
    </r>
    <r>
      <rPr>
        <sz val="9"/>
        <color theme="1"/>
        <rFont val="Noto Sans CJK SC"/>
        <family val="2"/>
      </rPr>
      <t>股权自由现金流</t>
    </r>
  </si>
  <si>
    <t>初始投入</t>
    <phoneticPr fontId="43" type="noConversion"/>
  </si>
  <si>
    <r>
      <rPr>
        <sz val="9"/>
        <color theme="1"/>
        <rFont val="宋体"/>
        <family val="3"/>
        <charset val="134"/>
      </rPr>
      <t>车头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挂车</t>
    </r>
    <r>
      <rPr>
        <sz val="9"/>
        <color theme="1"/>
        <rFont val="Noto Sans CJK SC"/>
        <family val="2"/>
        <charset val="134"/>
      </rPr>
      <t>+</t>
    </r>
    <r>
      <rPr>
        <sz val="9"/>
        <color theme="1"/>
        <rFont val="宋体"/>
        <family val="3"/>
        <charset val="134"/>
      </rPr>
      <t>补贴</t>
    </r>
    <phoneticPr fontId="43" type="noConversion"/>
  </si>
  <si>
    <t>以累计现金流转正时点测算</t>
    <phoneticPr fontId="43" type="noConversion"/>
  </si>
  <si>
    <t>累计股权现金流</t>
    <phoneticPr fontId="43" type="noConversion"/>
  </si>
  <si>
    <r>
      <t>4</t>
    </r>
    <r>
      <rPr>
        <b/>
        <sz val="9"/>
        <color theme="1"/>
        <rFont val="Noto Sans CJK SC"/>
        <family val="2"/>
      </rPr>
      <t>年累计净利润</t>
    </r>
  </si>
  <si>
    <r>
      <t>总投资</t>
    </r>
    <r>
      <rPr>
        <b/>
        <sz val="9"/>
        <color theme="1"/>
        <rFont val="微软雅黑"/>
        <family val="2"/>
        <charset val="134"/>
      </rPr>
      <t>ROI</t>
    </r>
  </si>
  <si>
    <r>
      <t>股权</t>
    </r>
    <r>
      <rPr>
        <b/>
        <sz val="9"/>
        <color theme="1"/>
        <rFont val="微软雅黑"/>
        <family val="2"/>
        <charset val="134"/>
      </rPr>
      <t>IRR</t>
    </r>
  </si>
  <si>
    <t>总投资额</t>
    <phoneticPr fontId="43" type="noConversion"/>
  </si>
  <si>
    <t xml:space="preserve"> </t>
    <phoneticPr fontId="43" type="noConversion"/>
  </si>
  <si>
    <t>7-双层熔断测算区</t>
  </si>
  <si>
    <t>用于按月录入实际收入、分包结算和成本口径，自动形成双层熔断判断。</t>
  </si>
  <si>
    <t>默认引用值</t>
  </si>
  <si>
    <t>手工调整值</t>
  </si>
  <si>
    <t>采用值</t>
  </si>
  <si>
    <t>引用基础参数表。</t>
  </si>
  <si>
    <t>吨/车</t>
  </si>
  <si>
    <t>趟/车/月</t>
  </si>
  <si>
    <t>理论月运量</t>
  </si>
  <si>
    <t>按规模、载重、趟数测算。</t>
  </si>
  <si>
    <t>一、实际到手结算吨价</t>
  </si>
  <si>
    <t>货主侧当期最终确认结算收入</t>
  </si>
  <si>
    <t>默认引用收益测算表收入。</t>
  </si>
  <si>
    <t>折让/扣罚/异常扣款</t>
  </si>
  <si>
    <t>按月录入实际减项。</t>
  </si>
  <si>
    <t>当期净结算收入</t>
  </si>
  <si>
    <t>形成正式比较口径分子。</t>
  </si>
  <si>
    <t>实际完成运输吨数</t>
  </si>
  <si>
    <t>可按实际完成吨数覆盖。</t>
  </si>
  <si>
    <t>实际到手结算吨价</t>
  </si>
  <si>
    <t>净结算收入÷实际完成运输吨数。</t>
  </si>
  <si>
    <t>二、非承运完全成本总额</t>
  </si>
  <si>
    <t>车辆相关成本</t>
  </si>
  <si>
    <t>车辆购置/租赁/保险合并口径。</t>
  </si>
  <si>
    <t>引用收益测算表。</t>
  </si>
  <si>
    <t>司机人工成本</t>
  </si>
  <si>
    <t>如有额外费用可覆盖。</t>
  </si>
  <si>
    <t>运费账期资金成本</t>
  </si>
  <si>
    <t>按净结算收入和账期测算。</t>
  </si>
  <si>
    <t>车租账期资金成本</t>
  </si>
  <si>
    <t>资产车口径默认填0。</t>
  </si>
  <si>
    <t>非承运完全成本总额</t>
  </si>
  <si>
    <t>项目总熔断线第一部分。</t>
  </si>
  <si>
    <t>三、双层熔断判断</t>
  </si>
  <si>
    <t>承运分包结算总价</t>
  </si>
  <si>
    <t>默认按资金清分表单车分包额×车队规模。</t>
  </si>
  <si>
    <t>承运调节线</t>
  </si>
  <si>
    <t>承运分包结算总价÷实际完成运输吨数。</t>
  </si>
  <si>
    <t>项目总成本</t>
  </si>
  <si>
    <t>非承运完全成本总额+承运分包结算总价。</t>
  </si>
  <si>
    <t>项目总成本÷实际完成运输吨数。</t>
  </si>
  <si>
    <t>线序校验</t>
  </si>
  <si>
    <t>文本</t>
  </si>
  <si>
    <t>承运调节线应高于项目总熔断线。</t>
  </si>
  <si>
    <t>价格区间判定</t>
  </si>
  <si>
    <t>先判承运调节线，再判项目总熔断线。</t>
  </si>
  <si>
    <t>动作结论</t>
  </si>
  <si>
    <t>项目是否停做，仅以项目总熔断线为准。</t>
  </si>
  <si>
    <t>恢复执行建议</t>
  </si>
  <si>
    <t>满足价格、周期、回款三项条件后恢复。</t>
  </si>
  <si>
    <r>
      <rPr>
        <sz val="10"/>
        <rFont val="宋体"/>
        <family val="3"/>
        <charset val="134"/>
      </rPr>
      <t>元</t>
    </r>
    <r>
      <rPr>
        <sz val="10"/>
        <rFont val="Noto Sans CJK SC"/>
        <family val="1"/>
      </rPr>
      <t>/</t>
    </r>
    <r>
      <rPr>
        <sz val="10"/>
        <rFont val="宋体"/>
        <family val="3"/>
        <charset val="134"/>
      </rPr>
      <t>吨趟</t>
    </r>
    <phoneticPr fontId="43" type="noConversion"/>
  </si>
  <si>
    <t>项目总熔断线</t>
    <phoneticPr fontId="43" type="noConversion"/>
  </si>
  <si>
    <t>名义运价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</si>
</sst>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.0%"/>
    <numFmt numFmtId="177" formatCode="0.000000%"/>
    <numFmt numFmtId="178" formatCode="0.0\‰"/>
    <numFmt numFmtId="179" formatCode="_ [$¥-804]* #,##0_ ;_ [$¥-804]* \-#,##0_ ;_ [$¥-804]* \-??_ ;_ @_ "/>
    <numFmt numFmtId="180" formatCode="_ [$¥-804]* #,##0.00_ ;_ [$¥-804]* \-#,##0.00_ ;_ [$¥-804]* \-??_ ;_ @_ "/>
    <numFmt numFmtId="181" formatCode="_ \¥* #,##0_ ;_ \¥* \-#,##0_ ;_ \¥* \-??_ ;_ @_ "/>
    <numFmt numFmtId="182" formatCode="0_);[Red]\(0\)"/>
    <numFmt numFmtId="183" formatCode="0.0000"/>
    <numFmt numFmtId="184" formatCode="0.000"/>
    <numFmt numFmtId="185" formatCode="_(\$* #,##0.00_);_(\$* \(#,##0.00\);_(\$* \-??_);_(@_)"/>
    <numFmt numFmtId="186" formatCode="[$$-409]#,##0.00;[Red]\-[$$-409]#,##0.00"/>
    <numFmt numFmtId="187" formatCode="#,##0.00;\(#,##0.00\);\-"/>
    <numFmt numFmtId="188" formatCode="#,##0;\(#,##0\);\-"/>
    <numFmt numFmtId="189" formatCode="0.0"/>
    <numFmt numFmtId="190" formatCode="#,##0.0;[Red]\(#,##0.0\);\-"/>
    <numFmt numFmtId="191" formatCode="#,##0;[Red]\(#,##0\);\-"/>
    <numFmt numFmtId="192" formatCode="0.0%;[Red]\(0.0%\);\-"/>
    <numFmt numFmtId="193" formatCode="0.00\x"/>
  </numFmts>
  <fonts count="105">
    <font>
      <sz val="11"/>
      <color theme="1"/>
      <name val="Calibri"/>
      <charset val="1"/>
    </font>
    <font>
      <sz val="10"/>
      <name val="Arial"/>
      <family val="2"/>
    </font>
    <font>
      <b/>
      <sz val="18"/>
      <color rgb="FFFFFFFF"/>
      <name val="Noto Sans CJK SC"/>
      <family val="1"/>
    </font>
    <font>
      <i/>
      <sz val="9"/>
      <color rgb="FF0066CC"/>
      <name val="Noto Sans CJK SC"/>
      <family val="2"/>
    </font>
    <font>
      <i/>
      <sz val="9"/>
      <color rgb="FF0066CC"/>
      <name val="Calibri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sz val="9"/>
      <color theme="1"/>
      <name val="Calibri"/>
      <family val="2"/>
    </font>
    <font>
      <sz val="9"/>
      <color theme="1"/>
      <name val="Noto Sans CJK SC"/>
      <family val="2"/>
    </font>
    <font>
      <b/>
      <sz val="9"/>
      <color theme="1"/>
      <name val="Calibri"/>
      <family val="2"/>
    </font>
    <font>
      <b/>
      <sz val="9"/>
      <color theme="1"/>
      <name val="Noto Sans CJK SC"/>
      <family val="2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70C0"/>
      <name val="Calibri"/>
      <family val="2"/>
    </font>
    <font>
      <b/>
      <sz val="9"/>
      <color rgb="FF0070C0"/>
      <name val="Noto Sans CJK SC"/>
      <family val="2"/>
    </font>
    <font>
      <sz val="9"/>
      <color rgb="FF767676"/>
      <name val="Calibri"/>
      <family val="2"/>
    </font>
    <font>
      <sz val="9"/>
      <color rgb="FF767676"/>
      <name val="Noto Sans CJK SC"/>
      <family val="2"/>
    </font>
    <font>
      <sz val="11"/>
      <color theme="1"/>
      <name val="Noto Sans SC"/>
      <family val="2"/>
      <charset val="134"/>
    </font>
    <font>
      <b/>
      <sz val="16"/>
      <name val="Noto Sans CJK SC"/>
      <family val="1"/>
    </font>
    <font>
      <b/>
      <sz val="12"/>
      <color rgb="FFFFFFFF"/>
      <name val="Noto Sans CJK SC"/>
      <family val="1"/>
    </font>
    <font>
      <b/>
      <sz val="10"/>
      <name val="Noto Sans CJK SC"/>
      <family val="1"/>
    </font>
    <font>
      <sz val="10"/>
      <name val="Noto Sans CJK SC"/>
      <family val="1"/>
    </font>
    <font>
      <sz val="10"/>
      <color rgb="FF0000FF"/>
      <name val="Noto Sans SC"/>
      <family val="2"/>
      <charset val="134"/>
    </font>
    <font>
      <i/>
      <sz val="10"/>
      <name val="Noto Sans CJK SC"/>
      <family val="1"/>
    </font>
    <font>
      <sz val="10"/>
      <color rgb="FF000000"/>
      <name val="Noto Sans SC"/>
      <family val="2"/>
      <charset val="134"/>
    </font>
    <font>
      <sz val="11"/>
      <color theme="1"/>
      <name val="Noto Sans CJK SC"/>
      <family val="1"/>
    </font>
    <font>
      <sz val="10"/>
      <color theme="1"/>
      <name val="Noto Sans CJK SC"/>
      <family val="1"/>
    </font>
    <font>
      <sz val="10"/>
      <color theme="1"/>
      <name val="Noto Sans SC"/>
      <family val="2"/>
      <charset val="134"/>
    </font>
    <font>
      <i/>
      <sz val="10"/>
      <color theme="1"/>
      <name val="Noto Sans CJK SC"/>
      <family val="1"/>
    </font>
    <font>
      <sz val="9"/>
      <color rgb="FF666666"/>
      <name val="Noto Sans SC"/>
      <family val="2"/>
      <charset val="134"/>
    </font>
    <font>
      <sz val="9"/>
      <color rgb="FF666666"/>
      <name val="Noto Sans CJK SC"/>
      <family val="2"/>
    </font>
    <font>
      <b/>
      <sz val="11"/>
      <color rgb="FFFF0000"/>
      <name val="微软雅黑"/>
      <family val="2"/>
      <charset val="134"/>
    </font>
    <font>
      <sz val="9"/>
      <color rgb="FF666666"/>
      <name val="微软雅黑"/>
      <family val="2"/>
      <charset val="134"/>
    </font>
    <font>
      <i/>
      <sz val="9"/>
      <color rgb="FF0066CC"/>
      <name val="Noto Sans CJK SC"/>
      <family val="1"/>
    </font>
    <font>
      <b/>
      <sz val="10"/>
      <color rgb="FFFFFFFF"/>
      <name val="Noto Sans CJK SC"/>
      <family val="1"/>
    </font>
    <font>
      <sz val="9"/>
      <name val="Noto Sans CJK SC"/>
      <family val="1"/>
    </font>
    <font>
      <b/>
      <sz val="9"/>
      <color rgb="FF000000"/>
      <name val="微软雅黑"/>
      <family val="2"/>
      <charset val="134"/>
    </font>
    <font>
      <b/>
      <sz val="16"/>
      <name val="Noto Sans CJK SC"/>
      <charset val="1"/>
    </font>
    <font>
      <b/>
      <sz val="9"/>
      <name val="Noto Sans CJK SC"/>
      <family val="1"/>
    </font>
    <font>
      <sz val="9"/>
      <color rgb="FF0000FF"/>
      <name val="微软雅黑"/>
      <family val="2"/>
      <charset val="134"/>
    </font>
    <font>
      <sz val="9"/>
      <name val="微软雅黑"/>
      <family val="2"/>
      <charset val="134"/>
    </font>
    <font>
      <i/>
      <sz val="9"/>
      <name val="Noto Sans CJK SC"/>
      <family val="1"/>
    </font>
    <font>
      <sz val="9"/>
      <name val="Noto Sans CJK SC"/>
      <family val="2"/>
    </font>
    <font>
      <sz val="9"/>
      <name val="宋体"/>
      <family val="3"/>
      <charset val="134"/>
    </font>
    <font>
      <sz val="9"/>
      <color rgb="FF000000"/>
      <name val="微软雅黑"/>
      <family val="2"/>
      <charset val="134"/>
    </font>
    <font>
      <b/>
      <sz val="9"/>
      <name val="Noto Sans SC"/>
      <family val="2"/>
      <charset val="134"/>
    </font>
    <font>
      <b/>
      <sz val="9"/>
      <name val="微软雅黑"/>
      <family val="2"/>
      <charset val="134"/>
    </font>
    <font>
      <i/>
      <sz val="9"/>
      <name val="Noto Sans SC Light"/>
      <family val="2"/>
      <charset val="134"/>
    </font>
    <font>
      <i/>
      <sz val="9"/>
      <name val="Noto Sans CJK SC"/>
      <family val="2"/>
    </font>
    <font>
      <b/>
      <i/>
      <sz val="9"/>
      <name val="Noto Sans SC Light"/>
      <family val="2"/>
      <charset val="134"/>
    </font>
    <font>
      <sz val="9"/>
      <color theme="1"/>
      <name val="微软雅黑"/>
      <family val="2"/>
      <charset val="134"/>
    </font>
    <font>
      <sz val="9"/>
      <name val="Noto Sans SC"/>
      <family val="2"/>
      <charset val="134"/>
    </font>
    <font>
      <b/>
      <sz val="10"/>
      <color theme="0"/>
      <name val="Noto Sans SC"/>
      <family val="2"/>
      <charset val="134"/>
    </font>
    <font>
      <b/>
      <sz val="10"/>
      <color theme="0"/>
      <name val="Noto Sans CJK SC"/>
      <family val="1"/>
    </font>
    <font>
      <b/>
      <sz val="10"/>
      <color theme="0"/>
      <name val="微软雅黑"/>
      <family val="2"/>
      <charset val="134"/>
    </font>
    <font>
      <b/>
      <i/>
      <sz val="10"/>
      <color theme="0"/>
      <name val="Noto Sans SC"/>
      <family val="2"/>
      <charset val="134"/>
    </font>
    <font>
      <b/>
      <sz val="11"/>
      <color rgb="FFFFFFFF"/>
      <name val="Noto Sans CJK SC"/>
      <family val="1"/>
    </font>
    <font>
      <b/>
      <sz val="9"/>
      <color rgb="FFFFFFFF"/>
      <name val="Noto Sans CJK SC"/>
      <family val="1"/>
    </font>
    <font>
      <sz val="8"/>
      <name val="Noto Sans CJK SC"/>
      <family val="1"/>
    </font>
    <font>
      <sz val="8"/>
      <name val="微软雅黑"/>
      <family val="2"/>
      <charset val="134"/>
    </font>
    <font>
      <b/>
      <sz val="8"/>
      <name val="Noto Sans CJK SC"/>
      <family val="1"/>
    </font>
    <font>
      <b/>
      <sz val="8"/>
      <name val="微软雅黑"/>
      <family val="2"/>
      <charset val="134"/>
    </font>
    <font>
      <sz val="9"/>
      <name val="Noto Sans SC Light"/>
      <family val="2"/>
      <charset val="134"/>
    </font>
    <font>
      <b/>
      <sz val="11"/>
      <name val="Noto Sans CJK SC"/>
      <family val="1"/>
    </font>
    <font>
      <sz val="10"/>
      <name val="Arial"/>
      <family val="2"/>
    </font>
    <font>
      <sz val="9"/>
      <name val="Arial"/>
      <family val="2"/>
    </font>
    <font>
      <b/>
      <sz val="9"/>
      <name val="Noto Sans SC Light"/>
      <family val="2"/>
      <charset val="134"/>
    </font>
    <font>
      <b/>
      <sz val="16"/>
      <color theme="1"/>
      <name val="Noto Sans CJK SC"/>
      <family val="1"/>
    </font>
    <font>
      <b/>
      <sz val="11"/>
      <color rgb="FFFF0000"/>
      <name val="Noto Sans CJK SC"/>
      <family val="2"/>
    </font>
    <font>
      <b/>
      <sz val="12"/>
      <color rgb="FF000000"/>
      <name val="微软雅黑"/>
      <family val="2"/>
      <charset val="134"/>
    </font>
    <font>
      <sz val="11"/>
      <color rgb="FFFFFFFF"/>
      <name val="Calibri"/>
      <family val="2"/>
    </font>
    <font>
      <i/>
      <sz val="9"/>
      <color rgb="FF595959"/>
      <name val="Noto Sans CJK SC"/>
      <family val="2"/>
    </font>
    <font>
      <b/>
      <i/>
      <sz val="9"/>
      <color theme="1"/>
      <name val="Noto Sans CJK SC"/>
      <family val="1"/>
    </font>
    <font>
      <b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sz val="9"/>
      <color theme="1"/>
      <name val="微软雅黑"/>
      <family val="2"/>
      <charset val="134"/>
    </font>
    <font>
      <i/>
      <sz val="9"/>
      <color theme="1"/>
      <name val="Noto Sans CJK SC"/>
      <family val="1"/>
    </font>
    <font>
      <i/>
      <sz val="9"/>
      <color rgb="FF595959"/>
      <name val="Calibri"/>
      <family val="2"/>
    </font>
    <font>
      <b/>
      <i/>
      <sz val="9"/>
      <color rgb="FFFFFFFF"/>
      <name val="Noto Sans CJK SC"/>
      <family val="1"/>
    </font>
    <font>
      <b/>
      <i/>
      <sz val="9"/>
      <color rgb="FF595959"/>
      <name val="Noto Sans CJK SC"/>
      <family val="1"/>
    </font>
    <font>
      <i/>
      <sz val="9"/>
      <color rgb="FF595959"/>
      <name val="Noto Sans CJK SC"/>
      <family val="1"/>
    </font>
    <font>
      <b/>
      <i/>
      <sz val="9"/>
      <color theme="1"/>
      <name val="Noto Sans CJK SC"/>
      <family val="2"/>
    </font>
    <font>
      <b/>
      <i/>
      <sz val="9"/>
      <color theme="1"/>
      <name val="微软雅黑"/>
      <family val="2"/>
      <charset val="134"/>
    </font>
    <font>
      <i/>
      <sz val="9"/>
      <color theme="1"/>
      <name val="Noto Sans CJK SC"/>
      <family val="2"/>
    </font>
    <font>
      <i/>
      <sz val="9"/>
      <color theme="1"/>
      <name val="微软雅黑"/>
      <family val="2"/>
      <charset val="134"/>
    </font>
    <font>
      <sz val="9"/>
      <color rgb="FFFFFFFF"/>
      <name val="Noto Sans CJK SC"/>
      <family val="1"/>
    </font>
    <font>
      <sz val="9"/>
      <color rgb="FFFFFFFF"/>
      <name val="Noto Sans SC"/>
      <family val="2"/>
      <charset val="134"/>
    </font>
    <font>
      <sz val="9"/>
      <color theme="1"/>
      <name val="Noto Sans SC"/>
      <family val="2"/>
      <charset val="134"/>
    </font>
    <font>
      <sz val="9"/>
      <color theme="1"/>
      <name val="Noto Sans CJK SC"/>
      <family val="1"/>
    </font>
    <font>
      <b/>
      <sz val="9"/>
      <color theme="1"/>
      <name val="Noto Sans SC"/>
      <family val="2"/>
      <charset val="134"/>
    </font>
    <font>
      <b/>
      <sz val="16"/>
      <color theme="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微软雅黑"/>
      <family val="2"/>
      <charset val="134"/>
    </font>
    <font>
      <b/>
      <sz val="9"/>
      <name val="Noto Sans CJK SC"/>
      <family val="2"/>
    </font>
    <font>
      <sz val="10"/>
      <name val="Noto Sans CJK SC"/>
      <family val="2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Noto Sans CJK SC"/>
      <family val="2"/>
      <charset val="134"/>
    </font>
    <font>
      <sz val="9"/>
      <color theme="1"/>
      <name val="Noto Sans CJK SC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Noto Sans CJK SC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E5F8A"/>
      </patternFill>
    </fill>
    <fill>
      <patternFill patternType="solid">
        <fgColor rgb="FFEBF3FB"/>
        <bgColor rgb="FFF2F2F2"/>
      </patternFill>
    </fill>
    <fill>
      <patternFill patternType="solid">
        <fgColor rgb="FF2E5F8A"/>
        <bgColor rgb="FF3E7CA6"/>
      </patternFill>
    </fill>
    <fill>
      <patternFill patternType="solid">
        <fgColor rgb="FF70AD4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ACD"/>
      </patternFill>
    </fill>
    <fill>
      <patternFill patternType="solid">
        <fgColor rgb="FF4472C4"/>
        <bgColor rgb="FF3E7CA6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3" tint="0.39979247413556324"/>
        <bgColor rgb="FF4472C4"/>
      </patternFill>
    </fill>
    <fill>
      <patternFill patternType="solid">
        <fgColor rgb="FFE7E6E6"/>
        <bgColor rgb="FFDCE6F1"/>
      </patternFill>
    </fill>
    <fill>
      <patternFill patternType="solid">
        <fgColor theme="4" tint="0.79979857783745845"/>
        <bgColor rgb="FFDCE6F1"/>
      </patternFill>
    </fill>
    <fill>
      <patternFill patternType="solid">
        <fgColor rgb="FFDCE6F1"/>
        <bgColor rgb="FFDCE6F2"/>
      </patternFill>
    </fill>
    <fill>
      <patternFill patternType="solid">
        <fgColor rgb="FFE2EFDA"/>
        <bgColor rgb="FFE7E6E6"/>
      </patternFill>
    </fill>
    <fill>
      <patternFill patternType="solid">
        <fgColor rgb="FF3E7CA6"/>
        <bgColor rgb="FF4472C4"/>
      </patternFill>
    </fill>
    <fill>
      <patternFill patternType="solid">
        <fgColor rgb="FFE2A76F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theme="3"/>
        <bgColor rgb="FF99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rgb="FF3E7CA6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</borders>
  <cellStyleXfs count="3">
    <xf numFmtId="0" fontId="0" fillId="0" borderId="0"/>
    <xf numFmtId="185" fontId="97" fillId="0" borderId="0">
      <alignment vertical="center"/>
    </xf>
    <xf numFmtId="9" fontId="64" fillId="0" borderId="0"/>
  </cellStyleXfs>
  <cellXfs count="378">
    <xf numFmtId="0" fontId="0" fillId="0" borderId="0" xfId="0"/>
    <xf numFmtId="0" fontId="10" fillId="7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7" borderId="0" xfId="0" applyFont="1" applyFill="1"/>
    <xf numFmtId="0" fontId="12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6" fillId="3" borderId="0" xfId="0" applyFont="1" applyFill="1"/>
    <xf numFmtId="0" fontId="13" fillId="3" borderId="0" xfId="0" applyFont="1" applyFill="1"/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9" borderId="0" xfId="0" applyFont="1" applyFill="1" applyAlignment="1">
      <alignment vertical="top"/>
    </xf>
    <xf numFmtId="0" fontId="8" fillId="9" borderId="0" xfId="0" applyFont="1" applyFill="1"/>
    <xf numFmtId="0" fontId="7" fillId="9" borderId="0" xfId="0" applyFont="1" applyFill="1"/>
    <xf numFmtId="0" fontId="9" fillId="9" borderId="0" xfId="0" applyFont="1" applyFill="1"/>
    <xf numFmtId="9" fontId="7" fillId="0" borderId="0" xfId="0" applyNumberFormat="1" applyFont="1"/>
    <xf numFmtId="9" fontId="7" fillId="3" borderId="0" xfId="0" applyNumberFormat="1" applyFont="1" applyFill="1"/>
    <xf numFmtId="10" fontId="7" fillId="0" borderId="0" xfId="0" applyNumberFormat="1" applyFont="1"/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7" fillId="0" borderId="0" xfId="0" applyNumberFormat="1" applyFont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6" fillId="2" borderId="0" xfId="0" applyFont="1" applyFill="1"/>
    <xf numFmtId="3" fontId="12" fillId="2" borderId="0" xfId="0" applyNumberFormat="1" applyFont="1" applyFill="1" applyAlignment="1">
      <alignment horizontal="right"/>
    </xf>
    <xf numFmtId="0" fontId="6" fillId="4" borderId="0" xfId="0" applyFont="1" applyFill="1"/>
    <xf numFmtId="176" fontId="12" fillId="4" borderId="0" xfId="0" applyNumberFormat="1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7" fillId="0" borderId="0" xfId="0" applyFont="1"/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9" fontId="22" fillId="0" borderId="0" xfId="0" applyNumberFormat="1" applyFont="1" applyAlignment="1">
      <alignment horizontal="right" vertical="center"/>
    </xf>
    <xf numFmtId="176" fontId="22" fillId="11" borderId="0" xfId="0" applyNumberFormat="1" applyFont="1" applyFill="1" applyAlignment="1">
      <alignment horizontal="right" vertical="center"/>
    </xf>
    <xf numFmtId="177" fontId="24" fillId="0" borderId="0" xfId="0" applyNumberFormat="1" applyFont="1" applyAlignment="1">
      <alignment horizontal="right" vertical="center"/>
    </xf>
    <xf numFmtId="178" fontId="22" fillId="0" borderId="0" xfId="0" applyNumberFormat="1" applyFont="1" applyAlignment="1">
      <alignment horizontal="right" vertical="center"/>
    </xf>
    <xf numFmtId="0" fontId="25" fillId="0" borderId="0" xfId="0" applyFont="1"/>
    <xf numFmtId="0" fontId="26" fillId="0" borderId="0" xfId="0" applyFont="1" applyAlignment="1">
      <alignment horizontal="left"/>
    </xf>
    <xf numFmtId="9" fontId="22" fillId="0" borderId="0" xfId="0" applyNumberFormat="1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left"/>
    </xf>
    <xf numFmtId="0" fontId="26" fillId="6" borderId="0" xfId="0" applyFont="1" applyFill="1" applyAlignment="1">
      <alignment horizontal="left"/>
    </xf>
    <xf numFmtId="9" fontId="22" fillId="6" borderId="0" xfId="0" applyNumberFormat="1" applyFont="1" applyFill="1" applyAlignment="1">
      <alignment horizontal="right"/>
    </xf>
    <xf numFmtId="0" fontId="27" fillId="6" borderId="0" xfId="0" applyFont="1" applyFill="1"/>
    <xf numFmtId="0" fontId="28" fillId="6" borderId="0" xfId="0" applyFont="1" applyFill="1" applyAlignment="1">
      <alignment horizontal="left"/>
    </xf>
    <xf numFmtId="0" fontId="29" fillId="6" borderId="0" xfId="0" applyFont="1" applyFill="1"/>
    <xf numFmtId="0" fontId="2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10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4" fillId="8" borderId="0" xfId="0" applyFont="1" applyFill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35" fillId="0" borderId="0" xfId="0" applyFont="1"/>
    <xf numFmtId="179" fontId="39" fillId="0" borderId="0" xfId="0" applyNumberFormat="1" applyFont="1" applyAlignment="1">
      <alignment horizontal="left" vertical="center"/>
    </xf>
    <xf numFmtId="179" fontId="40" fillId="0" borderId="1" xfId="0" applyNumberFormat="1" applyFont="1" applyBorder="1" applyAlignment="1">
      <alignment horizontal="left" vertical="center"/>
    </xf>
    <xf numFmtId="179" fontId="40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179" fontId="39" fillId="0" borderId="1" xfId="0" applyNumberFormat="1" applyFont="1" applyBorder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79" fontId="44" fillId="0" borderId="0" xfId="0" applyNumberFormat="1" applyFont="1" applyAlignment="1">
      <alignment horizontal="left" vertical="center"/>
    </xf>
    <xf numFmtId="0" fontId="45" fillId="12" borderId="2" xfId="0" applyFont="1" applyFill="1" applyBorder="1" applyAlignment="1">
      <alignment horizontal="left" vertical="center"/>
    </xf>
    <xf numFmtId="0" fontId="38" fillId="12" borderId="2" xfId="0" applyFont="1" applyFill="1" applyBorder="1" applyAlignment="1">
      <alignment horizontal="left" vertical="center"/>
    </xf>
    <xf numFmtId="0" fontId="38" fillId="12" borderId="2" xfId="0" applyFont="1" applyFill="1" applyBorder="1"/>
    <xf numFmtId="179" fontId="46" fillId="12" borderId="2" xfId="0" applyNumberFormat="1" applyFont="1" applyFill="1" applyBorder="1" applyAlignment="1">
      <alignment horizontal="left" vertical="center"/>
    </xf>
    <xf numFmtId="179" fontId="46" fillId="12" borderId="3" xfId="0" applyNumberFormat="1" applyFont="1" applyFill="1" applyBorder="1" applyAlignment="1">
      <alignment horizontal="left" vertical="center"/>
    </xf>
    <xf numFmtId="3" fontId="36" fillId="11" borderId="2" xfId="0" applyNumberFormat="1" applyFont="1" applyFill="1" applyBorder="1" applyAlignment="1">
      <alignment horizontal="left" vertical="center"/>
    </xf>
    <xf numFmtId="3" fontId="36" fillId="12" borderId="3" xfId="0" applyNumberFormat="1" applyFont="1" applyFill="1" applyBorder="1" applyAlignment="1">
      <alignment horizontal="left" vertical="center"/>
    </xf>
    <xf numFmtId="3" fontId="36" fillId="12" borderId="2" xfId="0" applyNumberFormat="1" applyFont="1" applyFill="1" applyBorder="1" applyAlignment="1">
      <alignment horizontal="left" vertical="center"/>
    </xf>
    <xf numFmtId="0" fontId="47" fillId="11" borderId="2" xfId="0" applyFont="1" applyFill="1" applyBorder="1" applyAlignment="1">
      <alignment horizontal="right" vertical="center"/>
    </xf>
    <xf numFmtId="0" fontId="38" fillId="12" borderId="4" xfId="0" applyFont="1" applyFill="1" applyBorder="1" applyAlignment="1">
      <alignment horizontal="left" vertical="center"/>
    </xf>
    <xf numFmtId="0" fontId="35" fillId="12" borderId="4" xfId="0" applyFont="1" applyFill="1" applyBorder="1" applyAlignment="1">
      <alignment horizontal="left" vertical="center"/>
    </xf>
    <xf numFmtId="0" fontId="35" fillId="12" borderId="4" xfId="0" applyFont="1" applyFill="1" applyBorder="1"/>
    <xf numFmtId="179" fontId="40" fillId="12" borderId="4" xfId="0" applyNumberFormat="1" applyFont="1" applyFill="1" applyBorder="1" applyAlignment="1">
      <alignment horizontal="left" vertical="center"/>
    </xf>
    <xf numFmtId="179" fontId="39" fillId="12" borderId="5" xfId="0" applyNumberFormat="1" applyFont="1" applyFill="1" applyBorder="1" applyAlignment="1">
      <alignment horizontal="left" vertical="center"/>
    </xf>
    <xf numFmtId="3" fontId="40" fillId="12" borderId="4" xfId="0" applyNumberFormat="1" applyFont="1" applyFill="1" applyBorder="1" applyAlignment="1">
      <alignment horizontal="left" vertical="center"/>
    </xf>
    <xf numFmtId="3" fontId="36" fillId="12" borderId="5" xfId="0" applyNumberFormat="1" applyFont="1" applyFill="1" applyBorder="1" applyAlignment="1">
      <alignment horizontal="left" vertical="center"/>
    </xf>
    <xf numFmtId="0" fontId="41" fillId="12" borderId="4" xfId="0" applyFont="1" applyFill="1" applyBorder="1" applyAlignment="1">
      <alignment horizontal="right" vertical="center"/>
    </xf>
    <xf numFmtId="0" fontId="38" fillId="0" borderId="6" xfId="0" applyFont="1" applyBorder="1" applyAlignment="1">
      <alignment horizontal="left" vertical="center"/>
    </xf>
    <xf numFmtId="0" fontId="35" fillId="0" borderId="6" xfId="0" applyFont="1" applyBorder="1" applyAlignment="1">
      <alignment horizontal="left" vertical="center"/>
    </xf>
    <xf numFmtId="0" fontId="35" fillId="0" borderId="6" xfId="0" applyFont="1" applyBorder="1"/>
    <xf numFmtId="179" fontId="39" fillId="0" borderId="6" xfId="0" applyNumberFormat="1" applyFont="1" applyBorder="1" applyAlignment="1">
      <alignment horizontal="left" vertical="center"/>
    </xf>
    <xf numFmtId="179" fontId="40" fillId="0" borderId="7" xfId="0" applyNumberFormat="1" applyFont="1" applyBorder="1" applyAlignment="1">
      <alignment horizontal="left" vertical="center"/>
    </xf>
    <xf numFmtId="3" fontId="44" fillId="0" borderId="6" xfId="0" applyNumberFormat="1" applyFont="1" applyBorder="1" applyAlignment="1">
      <alignment horizontal="left" vertical="center"/>
    </xf>
    <xf numFmtId="3" fontId="40" fillId="0" borderId="7" xfId="0" applyNumberFormat="1" applyFont="1" applyBorder="1" applyAlignment="1">
      <alignment horizontal="left" vertical="center"/>
    </xf>
    <xf numFmtId="0" fontId="47" fillId="0" borderId="6" xfId="0" applyFont="1" applyBorder="1" applyAlignment="1">
      <alignment horizontal="right" vertical="center"/>
    </xf>
    <xf numFmtId="3" fontId="44" fillId="0" borderId="0" xfId="0" applyNumberFormat="1" applyFont="1" applyAlignment="1">
      <alignment horizontal="left" vertical="center"/>
    </xf>
    <xf numFmtId="3" fontId="40" fillId="0" borderId="1" xfId="0" applyNumberFormat="1" applyFont="1" applyBorder="1" applyAlignment="1">
      <alignment horizontal="left" vertical="center"/>
    </xf>
    <xf numFmtId="0" fontId="49" fillId="12" borderId="2" xfId="0" applyFont="1" applyFill="1" applyBorder="1" applyAlignment="1">
      <alignment horizontal="right" vertical="center"/>
    </xf>
    <xf numFmtId="180" fontId="39" fillId="0" borderId="6" xfId="0" applyNumberFormat="1" applyFont="1" applyBorder="1" applyAlignment="1">
      <alignment horizontal="left" vertical="center"/>
    </xf>
    <xf numFmtId="180" fontId="39" fillId="0" borderId="7" xfId="0" applyNumberFormat="1" applyFont="1" applyBorder="1" applyAlignment="1">
      <alignment horizontal="left" vertical="center"/>
    </xf>
    <xf numFmtId="179" fontId="40" fillId="0" borderId="6" xfId="0" applyNumberFormat="1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181" fontId="40" fillId="0" borderId="0" xfId="0" applyNumberFormat="1" applyFont="1" applyAlignment="1">
      <alignment horizontal="left" vertical="center"/>
    </xf>
    <xf numFmtId="3" fontId="44" fillId="0" borderId="1" xfId="0" applyNumberFormat="1" applyFont="1" applyBorder="1" applyAlignment="1">
      <alignment horizontal="left" vertical="center"/>
    </xf>
    <xf numFmtId="181" fontId="50" fillId="0" borderId="0" xfId="0" applyNumberFormat="1" applyFont="1"/>
    <xf numFmtId="181" fontId="40" fillId="0" borderId="1" xfId="0" applyNumberFormat="1" applyFont="1" applyBorder="1" applyAlignment="1">
      <alignment horizontal="left" vertical="center"/>
    </xf>
    <xf numFmtId="3" fontId="40" fillId="0" borderId="0" xfId="0" applyNumberFormat="1" applyFont="1" applyAlignment="1">
      <alignment horizontal="left" vertical="center"/>
    </xf>
    <xf numFmtId="0" fontId="51" fillId="12" borderId="2" xfId="0" applyFont="1" applyFill="1" applyBorder="1" applyAlignment="1">
      <alignment horizontal="left" vertical="center"/>
    </xf>
    <xf numFmtId="3" fontId="46" fillId="12" borderId="2" xfId="0" applyNumberFormat="1" applyFont="1" applyFill="1" applyBorder="1" applyAlignment="1">
      <alignment horizontal="left" vertical="center"/>
    </xf>
    <xf numFmtId="3" fontId="46" fillId="12" borderId="3" xfId="0" applyNumberFormat="1" applyFont="1" applyFill="1" applyBorder="1" applyAlignment="1">
      <alignment horizontal="left" vertical="center"/>
    </xf>
    <xf numFmtId="179" fontId="39" fillId="0" borderId="7" xfId="0" applyNumberFormat="1" applyFont="1" applyBorder="1" applyAlignment="1">
      <alignment horizontal="left" vertical="center"/>
    </xf>
    <xf numFmtId="182" fontId="39" fillId="0" borderId="0" xfId="0" applyNumberFormat="1" applyFont="1" applyAlignment="1">
      <alignment horizontal="left" vertical="center"/>
    </xf>
    <xf numFmtId="182" fontId="39" fillId="0" borderId="1" xfId="0" applyNumberFormat="1" applyFont="1" applyBorder="1" applyAlignment="1">
      <alignment horizontal="left" vertical="center"/>
    </xf>
    <xf numFmtId="180" fontId="40" fillId="0" borderId="0" xfId="0" applyNumberFormat="1" applyFont="1" applyAlignment="1">
      <alignment horizontal="left" vertical="center"/>
    </xf>
    <xf numFmtId="180" fontId="40" fillId="0" borderId="1" xfId="0" applyNumberFormat="1" applyFont="1" applyBorder="1" applyAlignment="1">
      <alignment horizontal="left" vertical="center"/>
    </xf>
    <xf numFmtId="179" fontId="44" fillId="0" borderId="1" xfId="0" applyNumberFormat="1" applyFont="1" applyBorder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38" fillId="12" borderId="0" xfId="0" applyFont="1" applyFill="1"/>
    <xf numFmtId="179" fontId="46" fillId="12" borderId="0" xfId="0" applyNumberFormat="1" applyFont="1" applyFill="1" applyAlignment="1">
      <alignment horizontal="left" vertical="center"/>
    </xf>
    <xf numFmtId="179" fontId="46" fillId="12" borderId="1" xfId="0" applyNumberFormat="1" applyFont="1" applyFill="1" applyBorder="1" applyAlignment="1">
      <alignment horizontal="left" vertical="center"/>
    </xf>
    <xf numFmtId="3" fontId="36" fillId="12" borderId="0" xfId="0" applyNumberFormat="1" applyFont="1" applyFill="1" applyAlignment="1">
      <alignment horizontal="left" vertical="center"/>
    </xf>
    <xf numFmtId="3" fontId="36" fillId="12" borderId="1" xfId="0" applyNumberFormat="1" applyFont="1" applyFill="1" applyBorder="1" applyAlignment="1">
      <alignment horizontal="left" vertical="center"/>
    </xf>
    <xf numFmtId="0" fontId="47" fillId="12" borderId="0" xfId="0" applyFont="1" applyFill="1" applyAlignment="1">
      <alignment horizontal="right" vertical="center"/>
    </xf>
    <xf numFmtId="179" fontId="9" fillId="12" borderId="0" xfId="0" applyNumberFormat="1" applyFont="1" applyFill="1"/>
    <xf numFmtId="179" fontId="9" fillId="12" borderId="1" xfId="0" applyNumberFormat="1" applyFont="1" applyFill="1" applyBorder="1"/>
    <xf numFmtId="0" fontId="38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/>
    <xf numFmtId="0" fontId="39" fillId="0" borderId="3" xfId="0" applyFont="1" applyBorder="1" applyAlignment="1">
      <alignment horizontal="left" vertical="center"/>
    </xf>
    <xf numFmtId="3" fontId="44" fillId="0" borderId="2" xfId="0" applyNumberFormat="1" applyFont="1" applyBorder="1" applyAlignment="1">
      <alignment horizontal="left" vertical="center"/>
    </xf>
    <xf numFmtId="3" fontId="44" fillId="0" borderId="3" xfId="0" applyNumberFormat="1" applyFont="1" applyBorder="1" applyAlignment="1">
      <alignment horizontal="left" vertical="center"/>
    </xf>
    <xf numFmtId="3" fontId="36" fillId="0" borderId="2" xfId="0" applyNumberFormat="1" applyFont="1" applyBorder="1" applyAlignment="1">
      <alignment horizontal="left" vertical="center"/>
    </xf>
    <xf numFmtId="3" fontId="36" fillId="0" borderId="3" xfId="0" applyNumberFormat="1" applyFont="1" applyBorder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0" fontId="35" fillId="6" borderId="0" xfId="0" applyFont="1" applyFill="1"/>
    <xf numFmtId="0" fontId="39" fillId="6" borderId="0" xfId="0" applyFont="1" applyFill="1" applyAlignment="1">
      <alignment horizontal="left" vertical="center"/>
    </xf>
    <xf numFmtId="0" fontId="39" fillId="6" borderId="1" xfId="0" applyFont="1" applyFill="1" applyBorder="1" applyAlignment="1">
      <alignment horizontal="left" vertical="center"/>
    </xf>
    <xf numFmtId="3" fontId="44" fillId="6" borderId="0" xfId="0" applyNumberFormat="1" applyFont="1" applyFill="1" applyAlignment="1">
      <alignment horizontal="left" vertical="center"/>
    </xf>
    <xf numFmtId="3" fontId="44" fillId="6" borderId="1" xfId="0" applyNumberFormat="1" applyFont="1" applyFill="1" applyBorder="1" applyAlignment="1">
      <alignment horizontal="left" vertical="center"/>
    </xf>
    <xf numFmtId="3" fontId="36" fillId="6" borderId="0" xfId="0" applyNumberFormat="1" applyFont="1" applyFill="1" applyAlignment="1">
      <alignment horizontal="left" vertical="center"/>
    </xf>
    <xf numFmtId="3" fontId="36" fillId="6" borderId="1" xfId="0" applyNumberFormat="1" applyFont="1" applyFill="1" applyBorder="1" applyAlignment="1">
      <alignment horizontal="left" vertical="center"/>
    </xf>
    <xf numFmtId="0" fontId="41" fillId="6" borderId="0" xfId="0" applyFont="1" applyFill="1" applyAlignment="1">
      <alignment horizontal="right" vertical="center"/>
    </xf>
    <xf numFmtId="0" fontId="52" fillId="13" borderId="0" xfId="0" applyFont="1" applyFill="1" applyAlignment="1">
      <alignment horizontal="left" vertical="center"/>
    </xf>
    <xf numFmtId="0" fontId="53" fillId="13" borderId="0" xfId="0" applyFont="1" applyFill="1" applyAlignment="1">
      <alignment horizontal="left" vertical="center"/>
    </xf>
    <xf numFmtId="0" fontId="53" fillId="13" borderId="0" xfId="0" applyFont="1" applyFill="1"/>
    <xf numFmtId="179" fontId="54" fillId="13" borderId="0" xfId="0" applyNumberFormat="1" applyFont="1" applyFill="1" applyAlignment="1">
      <alignment horizontal="left" vertical="center"/>
    </xf>
    <xf numFmtId="179" fontId="54" fillId="13" borderId="1" xfId="0" applyNumberFormat="1" applyFont="1" applyFill="1" applyBorder="1" applyAlignment="1">
      <alignment horizontal="left" vertical="center"/>
    </xf>
    <xf numFmtId="3" fontId="54" fillId="13" borderId="0" xfId="0" applyNumberFormat="1" applyFont="1" applyFill="1" applyAlignment="1">
      <alignment horizontal="left" vertical="center"/>
    </xf>
    <xf numFmtId="3" fontId="54" fillId="13" borderId="1" xfId="0" applyNumberFormat="1" applyFont="1" applyFill="1" applyBorder="1" applyAlignment="1">
      <alignment horizontal="left" vertical="center"/>
    </xf>
    <xf numFmtId="0" fontId="55" fillId="13" borderId="0" xfId="0" applyFont="1" applyFill="1" applyAlignment="1">
      <alignment horizontal="right" vertical="center"/>
    </xf>
    <xf numFmtId="0" fontId="38" fillId="0" borderId="0" xfId="0" applyFont="1"/>
    <xf numFmtId="179" fontId="36" fillId="0" borderId="0" xfId="0" applyNumberFormat="1" applyFont="1" applyAlignment="1">
      <alignment horizontal="left" vertical="center"/>
    </xf>
    <xf numFmtId="179" fontId="36" fillId="0" borderId="1" xfId="0" applyNumberFormat="1" applyFont="1" applyBorder="1" applyAlignment="1">
      <alignment horizontal="left" vertical="center"/>
    </xf>
    <xf numFmtId="0" fontId="57" fillId="5" borderId="0" xfId="0" applyFont="1" applyFill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183" fontId="59" fillId="0" borderId="0" xfId="0" applyNumberFormat="1" applyFont="1" applyAlignment="1">
      <alignment horizontal="right" vertical="center"/>
    </xf>
    <xf numFmtId="2" fontId="59" fillId="0" borderId="0" xfId="0" applyNumberFormat="1" applyFont="1" applyAlignment="1">
      <alignment horizontal="right" vertical="center"/>
    </xf>
    <xf numFmtId="184" fontId="59" fillId="0" borderId="0" xfId="0" applyNumberFormat="1" applyFont="1" applyAlignment="1">
      <alignment horizontal="right" vertical="center"/>
    </xf>
    <xf numFmtId="4" fontId="59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58" fillId="6" borderId="0" xfId="0" applyFont="1" applyFill="1" applyAlignment="1">
      <alignment horizontal="left" vertical="center"/>
    </xf>
    <xf numFmtId="183" fontId="59" fillId="6" borderId="0" xfId="0" applyNumberFormat="1" applyFont="1" applyFill="1" applyAlignment="1">
      <alignment horizontal="right" vertical="center"/>
    </xf>
    <xf numFmtId="2" fontId="59" fillId="6" borderId="0" xfId="0" applyNumberFormat="1" applyFont="1" applyFill="1" applyAlignment="1">
      <alignment horizontal="right" vertical="center"/>
    </xf>
    <xf numFmtId="184" fontId="59" fillId="6" borderId="0" xfId="0" applyNumberFormat="1" applyFont="1" applyFill="1" applyAlignment="1">
      <alignment horizontal="right" vertical="center"/>
    </xf>
    <xf numFmtId="4" fontId="59" fillId="6" borderId="0" xfId="0" applyNumberFormat="1" applyFont="1" applyFill="1" applyAlignment="1">
      <alignment horizontal="right" vertical="center"/>
    </xf>
    <xf numFmtId="0" fontId="58" fillId="6" borderId="0" xfId="0" applyFont="1" applyFill="1" applyAlignment="1">
      <alignment horizontal="right" vertical="center"/>
    </xf>
    <xf numFmtId="0" fontId="60" fillId="14" borderId="0" xfId="0" applyFont="1" applyFill="1" applyAlignment="1">
      <alignment horizontal="left" vertical="center"/>
    </xf>
    <xf numFmtId="183" fontId="61" fillId="14" borderId="0" xfId="0" applyNumberFormat="1" applyFont="1" applyFill="1" applyAlignment="1">
      <alignment horizontal="right" vertical="center"/>
    </xf>
    <xf numFmtId="2" fontId="61" fillId="14" borderId="0" xfId="0" applyNumberFormat="1" applyFont="1" applyFill="1" applyAlignment="1">
      <alignment horizontal="right" vertical="center"/>
    </xf>
    <xf numFmtId="184" fontId="61" fillId="14" borderId="0" xfId="0" applyNumberFormat="1" applyFont="1" applyFill="1" applyAlignment="1">
      <alignment horizontal="right" vertical="center"/>
    </xf>
    <xf numFmtId="4" fontId="61" fillId="14" borderId="0" xfId="0" applyNumberFormat="1" applyFont="1" applyFill="1" applyAlignment="1">
      <alignment horizontal="right" vertical="center"/>
    </xf>
    <xf numFmtId="0" fontId="60" fillId="14" borderId="0" xfId="0" applyFont="1" applyFill="1" applyAlignment="1">
      <alignment horizontal="right" vertical="center"/>
    </xf>
    <xf numFmtId="0" fontId="38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left" vertical="center"/>
    </xf>
    <xf numFmtId="0" fontId="62" fillId="15" borderId="6" xfId="0" applyFont="1" applyFill="1" applyBorder="1" applyAlignment="1">
      <alignment horizontal="right" vertical="center"/>
    </xf>
    <xf numFmtId="0" fontId="35" fillId="0" borderId="2" xfId="0" applyFont="1" applyBorder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2" fillId="0" borderId="0" xfId="0" applyFont="1" applyAlignment="1">
      <alignment horizontal="right" vertical="center"/>
    </xf>
    <xf numFmtId="0" fontId="63" fillId="10" borderId="6" xfId="0" applyFont="1" applyFill="1" applyBorder="1" applyAlignment="1">
      <alignment horizontal="left" vertical="center"/>
    </xf>
    <xf numFmtId="179" fontId="40" fillId="15" borderId="6" xfId="0" applyNumberFormat="1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3" fontId="40" fillId="0" borderId="2" xfId="0" applyNumberFormat="1" applyFont="1" applyBorder="1" applyAlignment="1">
      <alignment horizontal="left" vertical="center"/>
    </xf>
    <xf numFmtId="0" fontId="35" fillId="0" borderId="0" xfId="0" applyFont="1" applyAlignment="1">
      <alignment horizontal="right" vertical="center"/>
    </xf>
    <xf numFmtId="0" fontId="35" fillId="15" borderId="6" xfId="0" applyFont="1" applyFill="1" applyBorder="1" applyAlignment="1">
      <alignment horizontal="left" vertical="center"/>
    </xf>
    <xf numFmtId="3" fontId="40" fillId="15" borderId="6" xfId="0" applyNumberFormat="1" applyFont="1" applyFill="1" applyBorder="1" applyAlignment="1">
      <alignment horizontal="left" vertical="center"/>
    </xf>
    <xf numFmtId="0" fontId="35" fillId="15" borderId="6" xfId="0" applyFont="1" applyFill="1" applyBorder="1" applyAlignment="1">
      <alignment horizontal="right" vertical="center"/>
    </xf>
    <xf numFmtId="0" fontId="35" fillId="16" borderId="0" xfId="0" applyFont="1" applyFill="1" applyAlignment="1">
      <alignment horizontal="left" vertical="center"/>
    </xf>
    <xf numFmtId="3" fontId="40" fillId="16" borderId="0" xfId="0" applyNumberFormat="1" applyFont="1" applyFill="1" applyAlignment="1">
      <alignment horizontal="left" vertical="center"/>
    </xf>
    <xf numFmtId="0" fontId="35" fillId="16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left" vertical="center"/>
    </xf>
    <xf numFmtId="3" fontId="46" fillId="14" borderId="0" xfId="0" applyNumberFormat="1" applyFont="1" applyFill="1" applyAlignment="1">
      <alignment horizontal="left" vertical="center"/>
    </xf>
    <xf numFmtId="0" fontId="38" fillId="14" borderId="0" xfId="0" applyFont="1" applyFill="1" applyAlignment="1">
      <alignment horizontal="right" vertical="center"/>
    </xf>
    <xf numFmtId="179" fontId="46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3" fontId="50" fillId="0" borderId="0" xfId="1" applyNumberFormat="1" applyFont="1" applyAlignment="1">
      <alignment horizontal="left" vertical="center"/>
    </xf>
    <xf numFmtId="176" fontId="65" fillId="0" borderId="0" xfId="2" applyNumberFormat="1" applyFont="1"/>
    <xf numFmtId="176" fontId="65" fillId="0" borderId="2" xfId="2" applyNumberFormat="1" applyFont="1" applyBorder="1"/>
    <xf numFmtId="0" fontId="38" fillId="0" borderId="2" xfId="0" applyFont="1" applyBorder="1" applyAlignment="1">
      <alignment horizontal="right" vertical="center"/>
    </xf>
    <xf numFmtId="0" fontId="4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right" vertical="center"/>
    </xf>
    <xf numFmtId="4" fontId="44" fillId="0" borderId="0" xfId="0" applyNumberFormat="1" applyFont="1" applyAlignment="1">
      <alignment horizontal="left" vertical="center"/>
    </xf>
    <xf numFmtId="4" fontId="40" fillId="0" borderId="0" xfId="0" applyNumberFormat="1" applyFont="1" applyAlignment="1">
      <alignment horizontal="left" vertical="center"/>
    </xf>
    <xf numFmtId="176" fontId="40" fillId="0" borderId="0" xfId="0" applyNumberFormat="1" applyFont="1" applyAlignment="1">
      <alignment horizontal="left"/>
    </xf>
    <xf numFmtId="186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176" fontId="40" fillId="0" borderId="2" xfId="0" applyNumberFormat="1" applyFont="1" applyBorder="1" applyAlignment="1">
      <alignment horizontal="left"/>
    </xf>
    <xf numFmtId="0" fontId="62" fillId="0" borderId="2" xfId="0" applyFont="1" applyBorder="1" applyAlignment="1">
      <alignment horizontal="right" vertical="center"/>
    </xf>
    <xf numFmtId="0" fontId="50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67" fillId="0" borderId="0" xfId="0" applyFont="1"/>
    <xf numFmtId="0" fontId="68" fillId="0" borderId="0" xfId="0" applyFont="1"/>
    <xf numFmtId="0" fontId="69" fillId="0" borderId="0" xfId="0" applyFont="1"/>
    <xf numFmtId="0" fontId="30" fillId="0" borderId="0" xfId="0" applyFont="1"/>
    <xf numFmtId="0" fontId="3" fillId="0" borderId="0" xfId="0" applyFont="1"/>
    <xf numFmtId="0" fontId="34" fillId="8" borderId="0" xfId="0" applyFont="1" applyFill="1" applyAlignment="1">
      <alignment horizontal="center"/>
    </xf>
    <xf numFmtId="0" fontId="57" fillId="2" borderId="0" xfId="0" applyFont="1" applyFill="1"/>
    <xf numFmtId="0" fontId="70" fillId="2" borderId="0" xfId="0" applyFont="1" applyFill="1"/>
    <xf numFmtId="0" fontId="8" fillId="10" borderId="0" xfId="0" applyFont="1" applyFill="1"/>
    <xf numFmtId="3" fontId="50" fillId="10" borderId="0" xfId="0" applyNumberFormat="1" applyFont="1" applyFill="1"/>
    <xf numFmtId="176" fontId="50" fillId="10" borderId="0" xfId="0" applyNumberFormat="1" applyFont="1" applyFill="1"/>
    <xf numFmtId="0" fontId="71" fillId="0" borderId="0" xfId="0" applyFont="1"/>
    <xf numFmtId="0" fontId="57" fillId="4" borderId="0" xfId="0" applyFont="1" applyFill="1"/>
    <xf numFmtId="0" fontId="70" fillId="4" borderId="0" xfId="0" applyFont="1" applyFill="1"/>
    <xf numFmtId="3" fontId="50" fillId="3" borderId="0" xfId="0" applyNumberFormat="1" applyFont="1" applyFill="1"/>
    <xf numFmtId="176" fontId="50" fillId="3" borderId="0" xfId="0" applyNumberFormat="1" applyFont="1" applyFill="1"/>
    <xf numFmtId="0" fontId="72" fillId="17" borderId="0" xfId="0" applyFont="1" applyFill="1"/>
    <xf numFmtId="3" fontId="72" fillId="17" borderId="0" xfId="0" applyNumberFormat="1" applyFont="1" applyFill="1"/>
    <xf numFmtId="176" fontId="72" fillId="17" borderId="0" xfId="0" applyNumberFormat="1" applyFont="1" applyFill="1"/>
    <xf numFmtId="0" fontId="72" fillId="7" borderId="0" xfId="0" applyFont="1" applyFill="1"/>
    <xf numFmtId="187" fontId="73" fillId="7" borderId="0" xfId="0" applyNumberFormat="1" applyFont="1" applyFill="1"/>
    <xf numFmtId="3" fontId="73" fillId="7" borderId="0" xfId="0" applyNumberFormat="1" applyFont="1" applyFill="1"/>
    <xf numFmtId="176" fontId="73" fillId="7" borderId="0" xfId="0" applyNumberFormat="1" applyFont="1" applyFill="1"/>
    <xf numFmtId="0" fontId="73" fillId="7" borderId="0" xfId="0" applyFont="1" applyFill="1"/>
    <xf numFmtId="0" fontId="74" fillId="0" borderId="0" xfId="0" applyFont="1"/>
    <xf numFmtId="0" fontId="10" fillId="10" borderId="0" xfId="0" applyFont="1" applyFill="1"/>
    <xf numFmtId="3" fontId="75" fillId="10" borderId="0" xfId="0" applyNumberFormat="1" applyFont="1" applyFill="1"/>
    <xf numFmtId="176" fontId="75" fillId="10" borderId="0" xfId="0" applyNumberFormat="1" applyFont="1" applyFill="1"/>
    <xf numFmtId="0" fontId="76" fillId="7" borderId="0" xfId="0" applyFont="1" applyFill="1"/>
    <xf numFmtId="3" fontId="72" fillId="7" borderId="0" xfId="0" applyNumberFormat="1" applyFont="1" applyFill="1"/>
    <xf numFmtId="176" fontId="72" fillId="7" borderId="0" xfId="0" applyNumberFormat="1" applyFont="1" applyFill="1"/>
    <xf numFmtId="0" fontId="0" fillId="6" borderId="0" xfId="0" applyFill="1"/>
    <xf numFmtId="0" fontId="77" fillId="6" borderId="0" xfId="0" applyFont="1" applyFill="1"/>
    <xf numFmtId="0" fontId="78" fillId="18" borderId="0" xfId="0" applyFont="1" applyFill="1"/>
    <xf numFmtId="0" fontId="0" fillId="18" borderId="0" xfId="0" applyFill="1"/>
    <xf numFmtId="0" fontId="71" fillId="3" borderId="0" xfId="0" applyFont="1" applyFill="1"/>
    <xf numFmtId="0" fontId="79" fillId="17" borderId="0" xfId="0" applyFont="1" applyFill="1"/>
    <xf numFmtId="0" fontId="80" fillId="7" borderId="0" xfId="0" applyFont="1" applyFill="1"/>
    <xf numFmtId="0" fontId="71" fillId="6" borderId="0" xfId="0" applyFont="1" applyFill="1"/>
    <xf numFmtId="0" fontId="57" fillId="18" borderId="0" xfId="0" applyFont="1" applyFill="1"/>
    <xf numFmtId="0" fontId="50" fillId="3" borderId="0" xfId="0" applyFont="1" applyFill="1"/>
    <xf numFmtId="0" fontId="0" fillId="4" borderId="0" xfId="0" applyFill="1"/>
    <xf numFmtId="0" fontId="81" fillId="7" borderId="0" xfId="0" applyFont="1" applyFill="1"/>
    <xf numFmtId="0" fontId="10" fillId="3" borderId="0" xfId="0" applyFont="1" applyFill="1"/>
    <xf numFmtId="3" fontId="75" fillId="3" borderId="0" xfId="0" applyNumberFormat="1" applyFont="1" applyFill="1"/>
    <xf numFmtId="176" fontId="75" fillId="3" borderId="0" xfId="0" applyNumberFormat="1" applyFont="1" applyFill="1"/>
    <xf numFmtId="0" fontId="83" fillId="7" borderId="0" xfId="0" applyFont="1" applyFill="1"/>
    <xf numFmtId="0" fontId="67" fillId="6" borderId="0" xfId="0" applyFont="1" applyFill="1"/>
    <xf numFmtId="0" fontId="33" fillId="6" borderId="0" xfId="0" applyFont="1" applyFill="1"/>
    <xf numFmtId="0" fontId="57" fillId="8" borderId="0" xfId="0" applyFont="1" applyFill="1" applyAlignment="1">
      <alignment horizontal="center" wrapText="1"/>
    </xf>
    <xf numFmtId="188" fontId="0" fillId="0" borderId="0" xfId="0" applyNumberFormat="1"/>
    <xf numFmtId="0" fontId="85" fillId="2" borderId="0" xfId="0" applyFont="1" applyFill="1"/>
    <xf numFmtId="3" fontId="86" fillId="2" borderId="0" xfId="0" applyNumberFormat="1" applyFont="1" applyFill="1" applyAlignment="1">
      <alignment horizontal="right"/>
    </xf>
    <xf numFmtId="0" fontId="85" fillId="3" borderId="0" xfId="0" applyFont="1" applyFill="1"/>
    <xf numFmtId="3" fontId="87" fillId="3" borderId="0" xfId="0" applyNumberFormat="1" applyFont="1" applyFill="1" applyAlignment="1">
      <alignment horizontal="right"/>
    </xf>
    <xf numFmtId="3" fontId="0" fillId="0" borderId="0" xfId="0" applyNumberFormat="1"/>
    <xf numFmtId="0" fontId="88" fillId="3" borderId="0" xfId="0" applyFont="1" applyFill="1"/>
    <xf numFmtId="0" fontId="0" fillId="12" borderId="0" xfId="0" applyFill="1"/>
    <xf numFmtId="0" fontId="73" fillId="12" borderId="0" xfId="0" applyFont="1" applyFill="1"/>
    <xf numFmtId="3" fontId="89" fillId="12" borderId="0" xfId="0" applyNumberFormat="1" applyFont="1" applyFill="1" applyAlignment="1">
      <alignment horizontal="right"/>
    </xf>
    <xf numFmtId="179" fontId="51" fillId="0" borderId="0" xfId="0" applyNumberFormat="1" applyFont="1" applyAlignment="1">
      <alignment horizontal="left" vertical="center"/>
    </xf>
    <xf numFmtId="181" fontId="51" fillId="0" borderId="0" xfId="0" applyNumberFormat="1" applyFont="1" applyAlignment="1">
      <alignment horizontal="right" vertical="center"/>
    </xf>
    <xf numFmtId="0" fontId="90" fillId="6" borderId="0" xfId="0" applyFont="1" applyFill="1"/>
    <xf numFmtId="0" fontId="3" fillId="6" borderId="0" xfId="0" applyFont="1" applyFill="1"/>
    <xf numFmtId="0" fontId="91" fillId="5" borderId="0" xfId="0" applyFont="1" applyFill="1" applyAlignment="1">
      <alignment horizontal="center"/>
    </xf>
    <xf numFmtId="0" fontId="91" fillId="5" borderId="0" xfId="0" applyFont="1" applyFill="1"/>
    <xf numFmtId="0" fontId="7" fillId="0" borderId="0" xfId="0" applyFont="1" applyAlignment="1">
      <alignment horizontal="center"/>
    </xf>
    <xf numFmtId="176" fontId="7" fillId="0" borderId="0" xfId="0" applyNumberFormat="1" applyFont="1" applyAlignment="1">
      <alignment horizontal="right"/>
    </xf>
    <xf numFmtId="3" fontId="9" fillId="7" borderId="0" xfId="0" applyNumberFormat="1" applyFont="1" applyFill="1" applyAlignment="1">
      <alignment horizontal="right"/>
    </xf>
    <xf numFmtId="176" fontId="9" fillId="7" borderId="0" xfId="0" applyNumberFormat="1" applyFont="1" applyFill="1" applyAlignment="1">
      <alignment horizontal="right"/>
    </xf>
    <xf numFmtId="0" fontId="92" fillId="19" borderId="0" xfId="0" applyFont="1" applyFill="1" applyAlignment="1">
      <alignment horizontal="center"/>
    </xf>
    <xf numFmtId="0" fontId="91" fillId="19" borderId="0" xfId="0" applyFont="1" applyFill="1" applyAlignment="1">
      <alignment horizontal="center"/>
    </xf>
    <xf numFmtId="0" fontId="9" fillId="20" borderId="0" xfId="0" applyFont="1" applyFill="1"/>
    <xf numFmtId="3" fontId="9" fillId="20" borderId="0" xfId="0" applyNumberFormat="1" applyFont="1" applyFill="1" applyAlignment="1">
      <alignment horizontal="right"/>
    </xf>
    <xf numFmtId="176" fontId="9" fillId="20" borderId="0" xfId="0" applyNumberFormat="1" applyFont="1" applyFill="1" applyAlignment="1">
      <alignment horizontal="right"/>
    </xf>
    <xf numFmtId="0" fontId="19" fillId="4" borderId="0" xfId="0" applyFont="1" applyFill="1"/>
    <xf numFmtId="0" fontId="57" fillId="5" borderId="0" xfId="0" applyFont="1" applyFill="1" applyAlignment="1">
      <alignment horizontal="center"/>
    </xf>
    <xf numFmtId="0" fontId="57" fillId="5" borderId="0" xfId="0" applyFont="1" applyFill="1" applyAlignment="1">
      <alignment horizontal="center" wrapText="1"/>
    </xf>
    <xf numFmtId="9" fontId="50" fillId="0" borderId="0" xfId="0" applyNumberFormat="1" applyFont="1" applyAlignment="1">
      <alignment horizontal="center"/>
    </xf>
    <xf numFmtId="3" fontId="50" fillId="0" borderId="0" xfId="0" applyNumberFormat="1" applyFont="1" applyAlignment="1">
      <alignment horizontal="right"/>
    </xf>
    <xf numFmtId="176" fontId="50" fillId="0" borderId="0" xfId="0" applyNumberFormat="1" applyFont="1" applyAlignment="1">
      <alignment horizontal="right"/>
    </xf>
    <xf numFmtId="9" fontId="75" fillId="11" borderId="0" xfId="0" applyNumberFormat="1" applyFont="1" applyFill="1" applyAlignment="1">
      <alignment horizontal="center"/>
    </xf>
    <xf numFmtId="3" fontId="75" fillId="11" borderId="0" xfId="0" applyNumberFormat="1" applyFont="1" applyFill="1" applyAlignment="1">
      <alignment horizontal="right"/>
    </xf>
    <xf numFmtId="176" fontId="75" fillId="11" borderId="0" xfId="0" applyNumberFormat="1" applyFont="1" applyFill="1" applyAlignment="1">
      <alignment horizontal="right"/>
    </xf>
    <xf numFmtId="189" fontId="50" fillId="0" borderId="0" xfId="0" applyNumberFormat="1" applyFont="1" applyAlignment="1">
      <alignment horizontal="right"/>
    </xf>
    <xf numFmtId="189" fontId="75" fillId="11" borderId="0" xfId="0" applyNumberFormat="1" applyFont="1" applyFill="1" applyAlignment="1">
      <alignment horizontal="right"/>
    </xf>
    <xf numFmtId="9" fontId="12" fillId="5" borderId="0" xfId="0" applyNumberFormat="1" applyFont="1" applyFill="1" applyAlignment="1">
      <alignment horizontal="center"/>
    </xf>
    <xf numFmtId="9" fontId="93" fillId="11" borderId="0" xfId="0" applyNumberFormat="1" applyFont="1" applyFill="1" applyAlignment="1">
      <alignment horizontal="center"/>
    </xf>
    <xf numFmtId="0" fontId="93" fillId="11" borderId="0" xfId="0" applyFont="1" applyFill="1" applyAlignment="1">
      <alignment horizontal="center"/>
    </xf>
    <xf numFmtId="0" fontId="50" fillId="0" borderId="0" xfId="0" applyFont="1" applyAlignment="1">
      <alignment horizontal="center"/>
    </xf>
    <xf numFmtId="0" fontId="75" fillId="11" borderId="0" xfId="0" applyFont="1" applyFill="1" applyAlignment="1">
      <alignment horizontal="center"/>
    </xf>
    <xf numFmtId="0" fontId="57" fillId="5" borderId="0" xfId="0" applyFont="1" applyFill="1" applyAlignment="1">
      <alignment horizontal="center" vertical="center"/>
    </xf>
    <xf numFmtId="9" fontId="8" fillId="0" borderId="0" xfId="0" applyNumberFormat="1" applyFont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191" fontId="50" fillId="10" borderId="0" xfId="0" applyNumberFormat="1" applyFont="1" applyFill="1" applyAlignment="1">
      <alignment horizontal="right" vertical="center"/>
    </xf>
    <xf numFmtId="192" fontId="50" fillId="10" borderId="0" xfId="0" applyNumberFormat="1" applyFont="1" applyFill="1" applyAlignment="1">
      <alignment horizontal="right" vertical="center"/>
    </xf>
    <xf numFmtId="9" fontId="50" fillId="0" borderId="0" xfId="0" applyNumberFormat="1" applyFont="1" applyAlignment="1">
      <alignment horizontal="center" vertical="center"/>
    </xf>
    <xf numFmtId="9" fontId="10" fillId="11" borderId="0" xfId="0" applyNumberFormat="1" applyFont="1" applyFill="1" applyAlignment="1">
      <alignment horizontal="left" vertical="center"/>
    </xf>
    <xf numFmtId="1" fontId="75" fillId="11" borderId="0" xfId="0" applyNumberFormat="1" applyFont="1" applyFill="1" applyAlignment="1">
      <alignment horizontal="right" vertical="center"/>
    </xf>
    <xf numFmtId="192" fontId="75" fillId="11" borderId="0" xfId="0" applyNumberFormat="1" applyFont="1" applyFill="1" applyAlignment="1">
      <alignment horizontal="right" vertical="center"/>
    </xf>
    <xf numFmtId="9" fontId="8" fillId="0" borderId="8" xfId="0" applyNumberFormat="1" applyFont="1" applyBorder="1" applyAlignment="1">
      <alignment horizontal="left" vertical="center"/>
    </xf>
    <xf numFmtId="191" fontId="50" fillId="0" borderId="8" xfId="0" applyNumberFormat="1" applyFont="1" applyBorder="1" applyAlignment="1">
      <alignment horizontal="right" vertical="center"/>
    </xf>
    <xf numFmtId="191" fontId="50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vertical="center" wrapText="1"/>
    </xf>
    <xf numFmtId="9" fontId="94" fillId="0" borderId="9" xfId="0" applyNumberFormat="1" applyFont="1" applyBorder="1" applyAlignment="1">
      <alignment horizontal="left" vertical="center"/>
    </xf>
    <xf numFmtId="191" fontId="94" fillId="0" borderId="9" xfId="0" applyNumberFormat="1" applyFont="1" applyBorder="1" applyAlignment="1">
      <alignment horizontal="right" vertical="center"/>
    </xf>
    <xf numFmtId="191" fontId="94" fillId="0" borderId="9" xfId="0" applyNumberFormat="1" applyFont="1" applyBorder="1" applyAlignment="1">
      <alignment horizontal="right"/>
    </xf>
    <xf numFmtId="0" fontId="95" fillId="0" borderId="9" xfId="0" applyFont="1" applyBorder="1" applyAlignment="1">
      <alignment vertical="center" wrapText="1"/>
    </xf>
    <xf numFmtId="0" fontId="50" fillId="0" borderId="8" xfId="0" applyFont="1" applyBorder="1" applyAlignment="1">
      <alignment vertical="center" wrapText="1"/>
    </xf>
    <xf numFmtId="9" fontId="95" fillId="0" borderId="9" xfId="0" applyNumberFormat="1" applyFont="1" applyBorder="1" applyAlignment="1">
      <alignment horizontal="left" vertical="center"/>
    </xf>
    <xf numFmtId="9" fontId="50" fillId="0" borderId="8" xfId="0" applyNumberFormat="1" applyFont="1" applyBorder="1" applyAlignment="1">
      <alignment horizontal="center"/>
    </xf>
    <xf numFmtId="190" fontId="50" fillId="0" borderId="8" xfId="0" applyNumberFormat="1" applyFont="1" applyBorder="1" applyAlignment="1">
      <alignment horizontal="right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/>
    </xf>
    <xf numFmtId="192" fontId="50" fillId="0" borderId="8" xfId="0" applyNumberFormat="1" applyFont="1" applyBorder="1" applyAlignment="1">
      <alignment horizontal="right" vertical="center"/>
    </xf>
    <xf numFmtId="9" fontId="50" fillId="0" borderId="8" xfId="0" applyNumberFormat="1" applyFont="1" applyBorder="1" applyAlignment="1">
      <alignment horizontal="center" vertical="center"/>
    </xf>
    <xf numFmtId="193" fontId="50" fillId="0" borderId="8" xfId="0" applyNumberFormat="1" applyFont="1" applyBorder="1" applyAlignment="1">
      <alignment horizontal="right" vertical="center"/>
    </xf>
    <xf numFmtId="2" fontId="50" fillId="0" borderId="8" xfId="0" applyNumberFormat="1" applyFont="1" applyBorder="1" applyAlignment="1">
      <alignment horizontal="right" vertical="center"/>
    </xf>
    <xf numFmtId="0" fontId="100" fillId="0" borderId="0" xfId="0" applyFont="1" applyAlignment="1">
      <alignment vertical="center" wrapText="1"/>
    </xf>
    <xf numFmtId="0" fontId="98" fillId="0" borderId="8" xfId="0" applyFont="1" applyBorder="1" applyAlignment="1">
      <alignment vertical="center" wrapText="1"/>
    </xf>
    <xf numFmtId="9" fontId="101" fillId="0" borderId="9" xfId="0" applyNumberFormat="1" applyFont="1" applyBorder="1" applyAlignment="1">
      <alignment horizontal="left" vertical="center"/>
    </xf>
    <xf numFmtId="0" fontId="57" fillId="21" borderId="0" xfId="0" applyFont="1" applyFill="1" applyAlignment="1">
      <alignment horizontal="right" vertical="center"/>
    </xf>
    <xf numFmtId="0" fontId="57" fillId="21" borderId="0" xfId="0" applyFont="1" applyFill="1" applyAlignment="1">
      <alignment horizontal="center" vertical="center"/>
    </xf>
    <xf numFmtId="9" fontId="102" fillId="22" borderId="0" xfId="0" applyNumberFormat="1" applyFont="1" applyFill="1" applyAlignment="1">
      <alignment horizontal="right" vertical="center"/>
    </xf>
    <xf numFmtId="190" fontId="50" fillId="22" borderId="0" xfId="0" applyNumberFormat="1" applyFont="1" applyFill="1" applyAlignment="1">
      <alignment horizontal="right" vertical="center"/>
    </xf>
    <xf numFmtId="9" fontId="8" fillId="22" borderId="0" xfId="0" applyNumberFormat="1" applyFont="1" applyFill="1" applyAlignment="1">
      <alignment horizontal="center" vertical="center"/>
    </xf>
    <xf numFmtId="0" fontId="8" fillId="22" borderId="0" xfId="0" applyFont="1" applyFill="1" applyAlignment="1">
      <alignment vertical="center" wrapText="1"/>
    </xf>
    <xf numFmtId="9" fontId="10" fillId="22" borderId="0" xfId="0" applyNumberFormat="1" applyFont="1" applyFill="1" applyAlignment="1">
      <alignment horizontal="right" vertical="center"/>
    </xf>
    <xf numFmtId="9" fontId="75" fillId="22" borderId="0" xfId="0" applyNumberFormat="1" applyFont="1" applyFill="1" applyAlignment="1">
      <alignment horizontal="right" vertical="center"/>
    </xf>
    <xf numFmtId="192" fontId="50" fillId="22" borderId="0" xfId="0" applyNumberFormat="1" applyFont="1" applyFill="1" applyAlignment="1">
      <alignment horizontal="right" vertical="center"/>
    </xf>
    <xf numFmtId="9" fontId="50" fillId="22" borderId="0" xfId="0" applyNumberFormat="1" applyFont="1" applyFill="1" applyAlignment="1">
      <alignment horizontal="center" vertical="center"/>
    </xf>
    <xf numFmtId="193" fontId="50" fillId="22" borderId="0" xfId="0" applyNumberFormat="1" applyFont="1" applyFill="1" applyAlignment="1">
      <alignment horizontal="right" vertical="center"/>
    </xf>
    <xf numFmtId="2" fontId="50" fillId="22" borderId="0" xfId="0" applyNumberFormat="1" applyFont="1" applyFill="1" applyAlignment="1">
      <alignment horizontal="right" vertical="center"/>
    </xf>
    <xf numFmtId="0" fontId="0" fillId="22" borderId="0" xfId="0" applyFill="1"/>
    <xf numFmtId="0" fontId="101" fillId="0" borderId="9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/>
    </xf>
    <xf numFmtId="0" fontId="8" fillId="0" borderId="0" xfId="0" applyFont="1" applyAlignment="1">
      <alignment vertical="top" wrapText="1"/>
    </xf>
    <xf numFmtId="0" fontId="6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23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5" fillId="4" borderId="0" xfId="0" applyFont="1" applyFill="1"/>
    <xf numFmtId="0" fontId="6" fillId="8" borderId="0" xfId="0" applyFont="1" applyFill="1" applyAlignment="1">
      <alignment horizontal="center"/>
    </xf>
    <xf numFmtId="0" fontId="8" fillId="3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8" fillId="0" borderId="0" xfId="0" applyFont="1"/>
    <xf numFmtId="0" fontId="19" fillId="8" borderId="0" xfId="0" applyFont="1" applyFill="1"/>
    <xf numFmtId="0" fontId="37" fillId="0" borderId="0" xfId="0" applyFont="1"/>
    <xf numFmtId="0" fontId="56" fillId="5" borderId="0" xfId="0" applyFont="1" applyFill="1"/>
    <xf numFmtId="0" fontId="5" fillId="8" borderId="0" xfId="0" applyFont="1" applyFill="1" applyAlignment="1">
      <alignment horizontal="left"/>
    </xf>
    <xf numFmtId="0" fontId="104" fillId="0" borderId="0" xfId="0" applyFont="1" applyAlignment="1">
      <alignment horizontal="left" vertical="center"/>
    </xf>
    <xf numFmtId="9" fontId="98" fillId="0" borderId="0" xfId="0" applyNumberFormat="1" applyFont="1" applyAlignment="1">
      <alignment horizontal="left" vertical="center"/>
    </xf>
  </cellXfs>
  <cellStyles count="3">
    <cellStyle name="百分比" xfId="2" builtinId="5"/>
    <cellStyle name="常规" xfId="0" builtinId="0"/>
    <cellStyle name="货币" xfId="1" builtinId="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D9E1F2"/>
      <rgbColor rgb="FF767676"/>
      <rgbColor rgb="FF558ED5"/>
      <rgbColor rgb="FF993366"/>
      <rgbColor rgb="FFFFFACD"/>
      <rgbColor rgb="FFEBF3FB"/>
      <rgbColor rgb="FF660066"/>
      <rgbColor rgb="FFE2A7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FF2CC"/>
      <rgbColor rgb="FFDCE6F1"/>
      <rgbColor rgb="FFE7E6E6"/>
      <rgbColor rgb="FFF2F2F2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1F3864"/>
      <rgbColor rgb="FF3E7CA6"/>
      <rgbColor rgb="FF003300"/>
      <rgbColor rgb="FF333300"/>
      <rgbColor rgb="FF993300"/>
      <rgbColor rgb="FF993366"/>
      <rgbColor rgb="FF2E5F8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opLeftCell="A28" zoomScaleNormal="100" workbookViewId="0">
      <selection activeCell="C41" sqref="C41"/>
    </sheetView>
  </sheetViews>
  <sheetFormatPr defaultColWidth="9" defaultRowHeight="14.25" customHeight="1"/>
  <cols>
    <col min="2" max="3" width="24" customWidth="1"/>
    <col min="4" max="4" width="75.1328125" customWidth="1"/>
    <col min="5" max="5" width="66.59765625" customWidth="1"/>
    <col min="6" max="6" width="33" customWidth="1"/>
  </cols>
  <sheetData>
    <row r="2" spans="2:6" ht="42" customHeight="1">
      <c r="B2" s="365" t="s">
        <v>0</v>
      </c>
      <c r="C2" s="365"/>
      <c r="D2" s="365"/>
      <c r="E2" s="365"/>
      <c r="F2" s="365"/>
    </row>
    <row r="3" spans="2:6" ht="27.75" customHeight="1">
      <c r="B3" s="366" t="s">
        <v>1</v>
      </c>
      <c r="C3" s="366"/>
      <c r="D3" s="366"/>
      <c r="E3" s="366"/>
      <c r="F3" s="366"/>
    </row>
    <row r="5" spans="2:6" ht="27.75" customHeight="1">
      <c r="B5" s="367" t="s">
        <v>2</v>
      </c>
      <c r="C5" s="367"/>
      <c r="D5" s="367"/>
      <c r="E5" s="367"/>
      <c r="F5" s="367"/>
    </row>
    <row r="7" spans="2:6" ht="24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</row>
    <row r="8" spans="2:6" ht="21.75" customHeight="1">
      <c r="B8" s="6" t="s">
        <v>8</v>
      </c>
      <c r="C8" s="6" t="s">
        <v>9</v>
      </c>
      <c r="D8" s="7" t="s">
        <v>10</v>
      </c>
      <c r="E8" s="7" t="s">
        <v>11</v>
      </c>
      <c r="F8" s="6" t="s">
        <v>12</v>
      </c>
    </row>
    <row r="9" spans="2:6" ht="21.75" customHeight="1">
      <c r="B9" s="8" t="s">
        <v>13</v>
      </c>
      <c r="C9" s="8" t="s">
        <v>14</v>
      </c>
      <c r="D9" s="9" t="s">
        <v>15</v>
      </c>
      <c r="E9" s="9" t="s">
        <v>16</v>
      </c>
      <c r="F9" s="9" t="s">
        <v>17</v>
      </c>
    </row>
    <row r="10" spans="2:6" ht="21.75" customHeight="1">
      <c r="B10" s="6" t="s">
        <v>18</v>
      </c>
      <c r="C10" s="6" t="s">
        <v>19</v>
      </c>
      <c r="D10" s="7" t="s">
        <v>20</v>
      </c>
      <c r="E10" s="7" t="s">
        <v>21</v>
      </c>
      <c r="F10" s="6" t="s">
        <v>13</v>
      </c>
    </row>
    <row r="11" spans="2:6" ht="21.75" customHeight="1">
      <c r="B11" s="8" t="s">
        <v>22</v>
      </c>
      <c r="C11" s="8" t="s">
        <v>23</v>
      </c>
      <c r="D11" s="9" t="s">
        <v>24</v>
      </c>
      <c r="E11" s="9" t="s">
        <v>25</v>
      </c>
      <c r="F11" s="8" t="s">
        <v>26</v>
      </c>
    </row>
    <row r="12" spans="2:6" ht="21.75" customHeight="1">
      <c r="B12" s="10" t="s">
        <v>27</v>
      </c>
      <c r="C12" s="10" t="s">
        <v>28</v>
      </c>
      <c r="D12" s="11" t="s">
        <v>29</v>
      </c>
      <c r="E12" s="10" t="s">
        <v>30</v>
      </c>
      <c r="F12" s="10" t="s">
        <v>26</v>
      </c>
    </row>
    <row r="13" spans="2:6" ht="21.75" customHeight="1">
      <c r="B13" s="8" t="s">
        <v>31</v>
      </c>
      <c r="C13" s="8" t="s">
        <v>32</v>
      </c>
      <c r="D13" s="9" t="s">
        <v>33</v>
      </c>
      <c r="E13" s="8" t="s">
        <v>34</v>
      </c>
      <c r="F13" s="8" t="s">
        <v>27</v>
      </c>
    </row>
    <row r="14" spans="2:6" ht="21.75" customHeight="1">
      <c r="B14" s="6" t="s">
        <v>35</v>
      </c>
      <c r="C14" s="6" t="s">
        <v>36</v>
      </c>
      <c r="D14" s="7" t="s">
        <v>37</v>
      </c>
      <c r="E14" s="6" t="s">
        <v>38</v>
      </c>
      <c r="F14" s="6" t="s">
        <v>39</v>
      </c>
    </row>
    <row r="15" spans="2:6" ht="21.75" customHeight="1">
      <c r="B15" s="8" t="s">
        <v>40</v>
      </c>
      <c r="C15" s="8" t="s">
        <v>41</v>
      </c>
      <c r="D15" s="9" t="s">
        <v>42</v>
      </c>
      <c r="E15" s="9" t="s">
        <v>43</v>
      </c>
      <c r="F15" s="8" t="s">
        <v>44</v>
      </c>
    </row>
    <row r="18" spans="2:6" ht="27.75" customHeight="1">
      <c r="B18" s="367" t="s">
        <v>45</v>
      </c>
      <c r="C18" s="367"/>
      <c r="D18" s="367"/>
      <c r="E18" s="367"/>
      <c r="F18" s="367"/>
    </row>
    <row r="20" spans="2:6" ht="24" customHeight="1">
      <c r="B20" s="12" t="s">
        <v>46</v>
      </c>
      <c r="C20" s="5" t="s">
        <v>47</v>
      </c>
      <c r="D20" s="5" t="s">
        <v>48</v>
      </c>
      <c r="E20" s="5" t="s">
        <v>49</v>
      </c>
      <c r="F20" s="5" t="s">
        <v>50</v>
      </c>
    </row>
    <row r="21" spans="2:6" ht="21.75" customHeight="1">
      <c r="B21" s="6">
        <v>1</v>
      </c>
      <c r="C21" s="7" t="s">
        <v>51</v>
      </c>
      <c r="D21" s="7" t="s">
        <v>52</v>
      </c>
      <c r="E21" s="7" t="s">
        <v>53</v>
      </c>
      <c r="F21" s="7" t="s">
        <v>54</v>
      </c>
    </row>
    <row r="22" spans="2:6" ht="21.75" customHeight="1">
      <c r="B22" s="13">
        <v>2</v>
      </c>
      <c r="C22" s="14" t="s">
        <v>55</v>
      </c>
      <c r="D22" s="15" t="s">
        <v>56</v>
      </c>
      <c r="E22" s="14" t="s">
        <v>57</v>
      </c>
      <c r="F22" s="14" t="s">
        <v>58</v>
      </c>
    </row>
    <row r="23" spans="2:6" ht="21.75" customHeight="1">
      <c r="B23" s="6">
        <v>3</v>
      </c>
      <c r="C23" s="7" t="s">
        <v>59</v>
      </c>
      <c r="D23" s="6" t="s">
        <v>60</v>
      </c>
      <c r="E23" s="7" t="s">
        <v>61</v>
      </c>
      <c r="F23" s="7" t="s">
        <v>62</v>
      </c>
    </row>
    <row r="24" spans="2:6" ht="21.75" customHeight="1">
      <c r="B24" s="13">
        <v>4</v>
      </c>
      <c r="C24" s="14" t="s">
        <v>63</v>
      </c>
      <c r="D24" s="14" t="s">
        <v>64</v>
      </c>
      <c r="E24" s="14" t="s">
        <v>65</v>
      </c>
      <c r="F24" s="14" t="s">
        <v>54</v>
      </c>
    </row>
    <row r="25" spans="2:6" ht="21.75" customHeight="1">
      <c r="B25" s="6">
        <v>5</v>
      </c>
      <c r="C25" s="7" t="s">
        <v>66</v>
      </c>
      <c r="D25" s="7" t="s">
        <v>67</v>
      </c>
      <c r="E25" s="7" t="s">
        <v>68</v>
      </c>
      <c r="F25" s="7" t="s">
        <v>69</v>
      </c>
    </row>
    <row r="26" spans="2:6" ht="21.75" customHeight="1">
      <c r="B26" s="13">
        <v>6</v>
      </c>
      <c r="C26" s="14" t="s">
        <v>70</v>
      </c>
      <c r="D26" s="15" t="s">
        <v>71</v>
      </c>
      <c r="E26" s="14" t="s">
        <v>72</v>
      </c>
      <c r="F26" s="14" t="s">
        <v>73</v>
      </c>
    </row>
    <row r="27" spans="2:6" ht="21.75" customHeight="1">
      <c r="B27" s="6">
        <v>7</v>
      </c>
      <c r="C27" s="7" t="s">
        <v>74</v>
      </c>
      <c r="D27" s="7" t="s">
        <v>75</v>
      </c>
      <c r="E27" s="7" t="s">
        <v>76</v>
      </c>
      <c r="F27" s="7" t="s">
        <v>77</v>
      </c>
    </row>
    <row r="28" spans="2:6" ht="21.75" customHeight="1">
      <c r="B28" s="16">
        <v>8</v>
      </c>
      <c r="C28" s="17" t="s">
        <v>78</v>
      </c>
      <c r="D28" s="17" t="s">
        <v>79</v>
      </c>
      <c r="E28" s="17" t="s">
        <v>80</v>
      </c>
      <c r="F28" s="17" t="s">
        <v>54</v>
      </c>
    </row>
    <row r="29" spans="2:6" ht="21.75" customHeight="1">
      <c r="B29" s="18">
        <v>9</v>
      </c>
      <c r="C29" s="19" t="s">
        <v>81</v>
      </c>
      <c r="D29" s="19" t="s">
        <v>82</v>
      </c>
      <c r="E29" s="19" t="s">
        <v>83</v>
      </c>
      <c r="F29" s="19" t="s">
        <v>54</v>
      </c>
    </row>
    <row r="30" spans="2:6" ht="21.75" customHeight="1">
      <c r="B30" s="13">
        <v>10</v>
      </c>
      <c r="C30" s="14" t="s">
        <v>84</v>
      </c>
      <c r="D30" s="14" t="s">
        <v>85</v>
      </c>
      <c r="E30" s="14" t="s">
        <v>86</v>
      </c>
      <c r="F30" s="14" t="s">
        <v>87</v>
      </c>
    </row>
    <row r="31" spans="2:6" ht="21.75" customHeight="1">
      <c r="B31" s="6">
        <v>11</v>
      </c>
      <c r="C31" s="7" t="s">
        <v>88</v>
      </c>
      <c r="D31" s="20" t="s">
        <v>89</v>
      </c>
      <c r="E31" s="7" t="s">
        <v>90</v>
      </c>
      <c r="F31" s="7" t="s">
        <v>91</v>
      </c>
    </row>
    <row r="34" spans="2:6" ht="27.75" customHeight="1">
      <c r="B34" s="367" t="s">
        <v>92</v>
      </c>
      <c r="C34" s="367"/>
      <c r="D34" s="367"/>
      <c r="E34" s="367"/>
      <c r="F34" s="367"/>
    </row>
    <row r="36" spans="2:6" ht="24" customHeight="1">
      <c r="B36" s="4" t="s">
        <v>93</v>
      </c>
      <c r="C36" s="4" t="s">
        <v>94</v>
      </c>
      <c r="D36" s="4" t="s">
        <v>95</v>
      </c>
      <c r="E36" s="4" t="s">
        <v>96</v>
      </c>
      <c r="F36" s="4" t="s">
        <v>97</v>
      </c>
    </row>
    <row r="37" spans="2:6" ht="25.5" customHeight="1">
      <c r="B37" s="21" t="s">
        <v>98</v>
      </c>
      <c r="C37" s="21" t="s">
        <v>99</v>
      </c>
      <c r="D37" s="21" t="s">
        <v>100</v>
      </c>
      <c r="E37" s="21" t="s">
        <v>101</v>
      </c>
      <c r="F37" s="22" t="s">
        <v>102</v>
      </c>
    </row>
    <row r="38" spans="2:6" ht="25.5" customHeight="1">
      <c r="B38" s="23" t="s">
        <v>103</v>
      </c>
      <c r="C38" s="23" t="s">
        <v>104</v>
      </c>
      <c r="D38" s="23" t="s">
        <v>105</v>
      </c>
      <c r="E38" s="23" t="s">
        <v>106</v>
      </c>
      <c r="F38" s="23" t="s">
        <v>107</v>
      </c>
    </row>
    <row r="39" spans="2:6" ht="25.5" customHeight="1">
      <c r="B39" s="21" t="s">
        <v>108</v>
      </c>
      <c r="C39" s="21" t="s">
        <v>109</v>
      </c>
      <c r="D39" s="21" t="s">
        <v>110</v>
      </c>
      <c r="E39" s="21" t="s">
        <v>111</v>
      </c>
      <c r="F39" s="21" t="s">
        <v>112</v>
      </c>
    </row>
    <row r="40" spans="2:6" ht="25.5" customHeight="1">
      <c r="B40" s="24" t="s">
        <v>113</v>
      </c>
      <c r="C40" s="24" t="s">
        <v>114</v>
      </c>
      <c r="D40" s="24" t="s">
        <v>115</v>
      </c>
      <c r="E40" s="24" t="s">
        <v>116</v>
      </c>
      <c r="F40" s="24" t="s">
        <v>117</v>
      </c>
    </row>
    <row r="41" spans="2:6" ht="25.5" customHeight="1">
      <c r="B41" s="21" t="s">
        <v>118</v>
      </c>
      <c r="C41" s="21" t="s">
        <v>119</v>
      </c>
      <c r="D41" s="21" t="s">
        <v>120</v>
      </c>
      <c r="E41" s="21" t="s">
        <v>121</v>
      </c>
      <c r="F41" s="21" t="s">
        <v>122</v>
      </c>
    </row>
    <row r="42" spans="2:6" ht="25.5" customHeight="1">
      <c r="B42" s="24" t="s">
        <v>123</v>
      </c>
      <c r="C42" s="24" t="s">
        <v>124</v>
      </c>
      <c r="D42" s="24" t="s">
        <v>125</v>
      </c>
      <c r="E42" s="24" t="s">
        <v>126</v>
      </c>
      <c r="F42" s="24" t="s">
        <v>127</v>
      </c>
    </row>
    <row r="43" spans="2:6" ht="25.5" customHeight="1">
      <c r="B43" s="21" t="s">
        <v>128</v>
      </c>
      <c r="C43" s="21" t="s">
        <v>129</v>
      </c>
      <c r="D43" s="21" t="s">
        <v>130</v>
      </c>
      <c r="E43" s="21" t="s">
        <v>131</v>
      </c>
      <c r="F43" s="21" t="s">
        <v>132</v>
      </c>
    </row>
    <row r="44" spans="2:6" ht="25.5" customHeight="1">
      <c r="B44" s="23" t="s">
        <v>133</v>
      </c>
      <c r="C44" s="23" t="s">
        <v>134</v>
      </c>
      <c r="D44" s="23" t="s">
        <v>135</v>
      </c>
      <c r="E44" s="23" t="s">
        <v>136</v>
      </c>
      <c r="F44" s="23" t="s">
        <v>137</v>
      </c>
    </row>
    <row r="47" spans="2:6" ht="27.75" customHeight="1">
      <c r="B47" s="367" t="s">
        <v>138</v>
      </c>
      <c r="C47" s="367"/>
      <c r="D47" s="367"/>
      <c r="E47" s="367"/>
      <c r="F47" s="367"/>
    </row>
    <row r="49" spans="2:6" ht="24" customHeight="1">
      <c r="B49" s="5" t="s">
        <v>139</v>
      </c>
      <c r="C49" s="5" t="s">
        <v>140</v>
      </c>
      <c r="D49" s="5" t="s">
        <v>141</v>
      </c>
      <c r="E49" s="5" t="s">
        <v>142</v>
      </c>
      <c r="F49" s="5" t="s">
        <v>143</v>
      </c>
    </row>
    <row r="50" spans="2:6" ht="21.75" customHeight="1">
      <c r="B50" s="7" t="s">
        <v>144</v>
      </c>
      <c r="C50" s="6" t="s">
        <v>145</v>
      </c>
      <c r="D50" s="6" t="s">
        <v>146</v>
      </c>
      <c r="E50" s="7" t="s">
        <v>147</v>
      </c>
      <c r="F50" s="7" t="s">
        <v>148</v>
      </c>
    </row>
    <row r="51" spans="2:6" ht="21.75" customHeight="1">
      <c r="B51" s="14" t="s">
        <v>149</v>
      </c>
      <c r="C51" s="13" t="s">
        <v>150</v>
      </c>
      <c r="D51" s="13" t="s">
        <v>151</v>
      </c>
      <c r="E51" s="14" t="s">
        <v>152</v>
      </c>
      <c r="F51" s="14" t="s">
        <v>98</v>
      </c>
    </row>
    <row r="52" spans="2:6" ht="21.75" customHeight="1">
      <c r="B52" s="25" t="s">
        <v>153</v>
      </c>
      <c r="C52" s="26" t="s">
        <v>154</v>
      </c>
      <c r="D52" s="27" t="s">
        <v>155</v>
      </c>
      <c r="E52" s="25" t="s">
        <v>156</v>
      </c>
      <c r="F52" s="25" t="s">
        <v>157</v>
      </c>
    </row>
    <row r="53" spans="2:6" ht="21.75" customHeight="1">
      <c r="B53" s="14" t="s">
        <v>158</v>
      </c>
      <c r="C53" s="13" t="s">
        <v>159</v>
      </c>
      <c r="D53" s="28">
        <v>0.55000000000000004</v>
      </c>
      <c r="E53" s="14" t="s">
        <v>160</v>
      </c>
      <c r="F53" s="14" t="s">
        <v>161</v>
      </c>
    </row>
    <row r="54" spans="2:6" ht="21.75" customHeight="1">
      <c r="B54" s="7" t="s">
        <v>162</v>
      </c>
      <c r="C54" s="6" t="s">
        <v>163</v>
      </c>
      <c r="D54" s="6" t="s">
        <v>164</v>
      </c>
      <c r="E54" s="7" t="s">
        <v>165</v>
      </c>
      <c r="F54" s="7" t="s">
        <v>166</v>
      </c>
    </row>
    <row r="55" spans="2:6" ht="21.75" customHeight="1">
      <c r="B55" s="14" t="s">
        <v>167</v>
      </c>
      <c r="C55" s="13" t="s">
        <v>168</v>
      </c>
      <c r="D55" s="28">
        <v>0.1</v>
      </c>
      <c r="E55" s="14" t="s">
        <v>169</v>
      </c>
      <c r="F55" s="14" t="s">
        <v>170</v>
      </c>
    </row>
    <row r="56" spans="2:6" ht="21.75" customHeight="1">
      <c r="B56" s="7" t="s">
        <v>171</v>
      </c>
      <c r="C56" s="6" t="s">
        <v>172</v>
      </c>
      <c r="D56" s="29">
        <v>0.1</v>
      </c>
      <c r="E56" s="7" t="s">
        <v>173</v>
      </c>
      <c r="F56" s="7" t="s">
        <v>174</v>
      </c>
    </row>
    <row r="57" spans="2:6" ht="21.75" customHeight="1">
      <c r="B57" s="14" t="s">
        <v>175</v>
      </c>
      <c r="C57" s="13" t="s">
        <v>176</v>
      </c>
      <c r="D57" s="28">
        <v>0.15</v>
      </c>
      <c r="E57" s="14" t="s">
        <v>177</v>
      </c>
      <c r="F57" s="14" t="s">
        <v>178</v>
      </c>
    </row>
    <row r="58" spans="2:6" ht="21.75" customHeight="1">
      <c r="B58" s="7" t="s">
        <v>179</v>
      </c>
      <c r="C58" s="6" t="s">
        <v>180</v>
      </c>
      <c r="D58" s="29">
        <v>0.25</v>
      </c>
      <c r="E58" s="7" t="s">
        <v>181</v>
      </c>
      <c r="F58" s="7" t="s">
        <v>182</v>
      </c>
    </row>
    <row r="59" spans="2:6" ht="21.75" customHeight="1">
      <c r="B59" s="14" t="s">
        <v>183</v>
      </c>
      <c r="C59" s="13" t="s">
        <v>184</v>
      </c>
      <c r="D59" s="13" t="s">
        <v>185</v>
      </c>
      <c r="E59" s="14" t="s">
        <v>186</v>
      </c>
      <c r="F59" s="14" t="s">
        <v>103</v>
      </c>
    </row>
    <row r="60" spans="2:6" ht="21.75" customHeight="1">
      <c r="B60" s="7" t="s">
        <v>187</v>
      </c>
      <c r="C60" s="6" t="s">
        <v>188</v>
      </c>
      <c r="D60" s="6" t="s">
        <v>185</v>
      </c>
      <c r="E60" s="7" t="s">
        <v>189</v>
      </c>
      <c r="F60" s="7" t="s">
        <v>103</v>
      </c>
    </row>
    <row r="61" spans="2:6" ht="21.75" customHeight="1">
      <c r="B61" s="14" t="s">
        <v>190</v>
      </c>
      <c r="C61" s="13" t="s">
        <v>191</v>
      </c>
      <c r="D61" s="30">
        <v>6.5000000000000002E-2</v>
      </c>
      <c r="E61" s="14" t="s">
        <v>192</v>
      </c>
      <c r="F61" s="14" t="s">
        <v>103</v>
      </c>
    </row>
    <row r="62" spans="2:6" ht="21.75" customHeight="1">
      <c r="B62" s="7" t="s">
        <v>193</v>
      </c>
      <c r="C62" s="6" t="s">
        <v>194</v>
      </c>
      <c r="D62" s="6" t="s">
        <v>195</v>
      </c>
      <c r="E62" s="7" t="s">
        <v>196</v>
      </c>
      <c r="F62" s="7" t="s">
        <v>197</v>
      </c>
    </row>
    <row r="65" spans="2:6" ht="27.75" customHeight="1">
      <c r="B65" s="367" t="s">
        <v>198</v>
      </c>
      <c r="C65" s="367"/>
      <c r="D65" s="367"/>
      <c r="E65" s="367"/>
      <c r="F65" s="367"/>
    </row>
    <row r="67" spans="2:6" ht="24" customHeight="1">
      <c r="B67" s="4" t="s">
        <v>199</v>
      </c>
      <c r="C67" s="4" t="s">
        <v>200</v>
      </c>
      <c r="D67" s="368" t="s">
        <v>201</v>
      </c>
      <c r="E67" s="368"/>
      <c r="F67" s="4" t="s">
        <v>202</v>
      </c>
    </row>
    <row r="68" spans="2:6" ht="33.75" customHeight="1">
      <c r="B68" s="3" t="s">
        <v>203</v>
      </c>
      <c r="C68" s="31" t="s">
        <v>204</v>
      </c>
      <c r="D68" s="369" t="s">
        <v>205</v>
      </c>
      <c r="E68" s="369"/>
      <c r="F68" s="31" t="s">
        <v>206</v>
      </c>
    </row>
    <row r="69" spans="2:6" ht="33.75" customHeight="1">
      <c r="B69" s="2" t="s">
        <v>207</v>
      </c>
      <c r="C69" s="32" t="s">
        <v>208</v>
      </c>
      <c r="D69" s="360" t="s">
        <v>209</v>
      </c>
      <c r="E69" s="360"/>
      <c r="F69" s="32" t="s">
        <v>210</v>
      </c>
    </row>
    <row r="70" spans="2:6" ht="33.75" customHeight="1">
      <c r="B70" s="3" t="s">
        <v>211</v>
      </c>
      <c r="C70" s="31" t="s">
        <v>212</v>
      </c>
      <c r="D70" s="369" t="s">
        <v>213</v>
      </c>
      <c r="E70" s="369"/>
      <c r="F70" s="31" t="s">
        <v>214</v>
      </c>
    </row>
    <row r="71" spans="2:6" ht="33.75" customHeight="1">
      <c r="B71" s="2" t="s">
        <v>215</v>
      </c>
      <c r="C71" s="32" t="s">
        <v>216</v>
      </c>
      <c r="D71" s="360" t="s">
        <v>217</v>
      </c>
      <c r="E71" s="360"/>
      <c r="F71" s="32" t="s">
        <v>218</v>
      </c>
    </row>
    <row r="72" spans="2:6" ht="33.75" customHeight="1">
      <c r="B72" s="3" t="s">
        <v>219</v>
      </c>
      <c r="C72" s="31" t="s">
        <v>220</v>
      </c>
      <c r="D72" s="369" t="s">
        <v>221</v>
      </c>
      <c r="E72" s="369"/>
      <c r="F72" s="31" t="s">
        <v>222</v>
      </c>
    </row>
    <row r="73" spans="2:6" ht="33.75" customHeight="1">
      <c r="B73" s="1" t="s">
        <v>223</v>
      </c>
      <c r="C73" s="33" t="s">
        <v>224</v>
      </c>
      <c r="D73" s="370" t="s">
        <v>225</v>
      </c>
      <c r="E73" s="370"/>
      <c r="F73" s="33" t="s">
        <v>226</v>
      </c>
    </row>
    <row r="74" spans="2:6" ht="33.75" customHeight="1">
      <c r="B74" s="3" t="s">
        <v>227</v>
      </c>
      <c r="C74" s="31" t="s">
        <v>228</v>
      </c>
      <c r="D74" s="369" t="s">
        <v>229</v>
      </c>
      <c r="E74" s="369"/>
      <c r="F74" s="31" t="s">
        <v>230</v>
      </c>
    </row>
    <row r="75" spans="2:6" ht="33.75" customHeight="1">
      <c r="B75" s="2" t="s">
        <v>231</v>
      </c>
      <c r="C75" s="32" t="s">
        <v>232</v>
      </c>
      <c r="D75" s="360" t="s">
        <v>233</v>
      </c>
      <c r="E75" s="360"/>
      <c r="F75" s="2" t="s">
        <v>234</v>
      </c>
    </row>
    <row r="76" spans="2:6" ht="33.75" customHeight="1">
      <c r="B76" s="3" t="s">
        <v>235</v>
      </c>
      <c r="C76" s="31" t="s">
        <v>236</v>
      </c>
      <c r="D76" s="369" t="s">
        <v>237</v>
      </c>
      <c r="E76" s="369"/>
      <c r="F76" s="3" t="s">
        <v>238</v>
      </c>
    </row>
    <row r="77" spans="2:6" ht="33.75" customHeight="1">
      <c r="B77" s="2" t="s">
        <v>179</v>
      </c>
      <c r="C77" s="32" t="s">
        <v>239</v>
      </c>
      <c r="D77" s="360" t="s">
        <v>240</v>
      </c>
      <c r="E77" s="360"/>
      <c r="F77" s="2" t="s">
        <v>241</v>
      </c>
    </row>
    <row r="80" spans="2:6" ht="27.75" customHeight="1">
      <c r="B80" s="367" t="s">
        <v>242</v>
      </c>
      <c r="C80" s="367"/>
      <c r="D80" s="367"/>
      <c r="E80" s="367"/>
      <c r="F80" s="367"/>
    </row>
    <row r="82" spans="2:6" ht="21.75" customHeight="1">
      <c r="B82" s="5" t="s">
        <v>243</v>
      </c>
      <c r="C82" s="5" t="s">
        <v>244</v>
      </c>
      <c r="D82" s="5" t="s">
        <v>245</v>
      </c>
      <c r="E82" s="5" t="s">
        <v>246</v>
      </c>
      <c r="F82" s="5" t="s">
        <v>247</v>
      </c>
    </row>
    <row r="83" spans="2:6" ht="21.75" customHeight="1">
      <c r="B83" s="14" t="s">
        <v>248</v>
      </c>
      <c r="C83" s="34">
        <v>75264</v>
      </c>
      <c r="D83" s="34">
        <v>75264</v>
      </c>
      <c r="E83" s="34">
        <v>0</v>
      </c>
      <c r="F83" s="14" t="s">
        <v>249</v>
      </c>
    </row>
    <row r="84" spans="2:6" ht="21.75" customHeight="1">
      <c r="B84" s="7" t="s">
        <v>250</v>
      </c>
      <c r="C84" s="35">
        <v>402</v>
      </c>
      <c r="D84" s="35">
        <v>482</v>
      </c>
      <c r="E84" s="35">
        <v>80</v>
      </c>
      <c r="F84" s="7" t="s">
        <v>251</v>
      </c>
    </row>
    <row r="85" spans="2:6" ht="21.75" customHeight="1">
      <c r="B85" s="14" t="s">
        <v>252</v>
      </c>
      <c r="C85" s="34">
        <v>9983</v>
      </c>
      <c r="D85" s="34">
        <v>3249</v>
      </c>
      <c r="E85" s="34">
        <v>-6734</v>
      </c>
      <c r="F85" s="14" t="s">
        <v>253</v>
      </c>
    </row>
    <row r="86" spans="2:6" ht="21.75" customHeight="1">
      <c r="B86" s="7" t="s">
        <v>254</v>
      </c>
      <c r="C86" s="35">
        <v>12201</v>
      </c>
      <c r="D86" s="35">
        <v>3971</v>
      </c>
      <c r="E86" s="35">
        <v>-8230</v>
      </c>
      <c r="F86" s="7" t="s">
        <v>255</v>
      </c>
    </row>
    <row r="87" spans="2:6" ht="21.75" customHeight="1">
      <c r="B87" s="14" t="s">
        <v>231</v>
      </c>
      <c r="C87" s="34">
        <v>692</v>
      </c>
      <c r="D87" s="34">
        <v>899</v>
      </c>
      <c r="E87" s="34">
        <v>207</v>
      </c>
      <c r="F87" s="14" t="s">
        <v>256</v>
      </c>
    </row>
    <row r="88" spans="2:6" ht="21.75" customHeight="1">
      <c r="B88" s="7" t="s">
        <v>257</v>
      </c>
      <c r="C88" s="35">
        <v>0</v>
      </c>
      <c r="D88" s="35">
        <v>705</v>
      </c>
      <c r="E88" s="35">
        <v>705</v>
      </c>
      <c r="F88" s="7" t="s">
        <v>258</v>
      </c>
    </row>
    <row r="89" spans="2:6" ht="21.75" customHeight="1">
      <c r="B89" s="14" t="s">
        <v>259</v>
      </c>
      <c r="C89" s="34">
        <v>0</v>
      </c>
      <c r="D89" s="34">
        <v>1545</v>
      </c>
      <c r="E89" s="34">
        <v>1545</v>
      </c>
      <c r="F89" s="14" t="s">
        <v>258</v>
      </c>
    </row>
    <row r="90" spans="2:6" ht="21.75" customHeight="1">
      <c r="B90" s="7" t="s">
        <v>227</v>
      </c>
      <c r="C90" s="35">
        <v>7498</v>
      </c>
      <c r="D90" s="35">
        <v>7498</v>
      </c>
      <c r="E90" s="35">
        <v>0</v>
      </c>
      <c r="F90" s="7" t="s">
        <v>260</v>
      </c>
    </row>
    <row r="91" spans="2:6" ht="21.75" customHeight="1">
      <c r="B91" s="14" t="s">
        <v>261</v>
      </c>
      <c r="C91" s="34">
        <v>0</v>
      </c>
      <c r="D91" s="34">
        <v>0</v>
      </c>
      <c r="E91" s="34">
        <v>0</v>
      </c>
      <c r="F91" s="14" t="s">
        <v>262</v>
      </c>
    </row>
    <row r="92" spans="2:6" ht="21.75" customHeight="1">
      <c r="B92" s="7" t="s">
        <v>263</v>
      </c>
      <c r="C92" s="35">
        <v>0</v>
      </c>
      <c r="D92" s="35">
        <v>0</v>
      </c>
      <c r="E92" s="35">
        <v>0</v>
      </c>
      <c r="F92" s="7" t="s">
        <v>262</v>
      </c>
    </row>
    <row r="93" spans="2:6" ht="21.75" customHeight="1">
      <c r="B93" s="14" t="s">
        <v>264</v>
      </c>
      <c r="C93" s="34">
        <v>952</v>
      </c>
      <c r="D93" s="34">
        <v>1201</v>
      </c>
      <c r="E93" s="34">
        <v>249</v>
      </c>
      <c r="F93" s="14" t="s">
        <v>265</v>
      </c>
    </row>
    <row r="94" spans="2:6" ht="21.75" customHeight="1">
      <c r="B94" s="36" t="s">
        <v>266</v>
      </c>
      <c r="C94" s="37">
        <v>31728</v>
      </c>
      <c r="D94" s="37">
        <v>19550</v>
      </c>
      <c r="E94" s="37">
        <v>-12178</v>
      </c>
      <c r="F94" s="36" t="s">
        <v>267</v>
      </c>
    </row>
    <row r="95" spans="2:6" ht="21.75" customHeight="1">
      <c r="B95" s="38" t="s">
        <v>268</v>
      </c>
      <c r="C95" s="39">
        <v>0.42199999999999999</v>
      </c>
      <c r="D95" s="39">
        <v>0.26</v>
      </c>
      <c r="E95" s="40" t="s">
        <v>269</v>
      </c>
      <c r="F95" s="38" t="s">
        <v>270</v>
      </c>
    </row>
  </sheetData>
  <mergeCells count="19">
    <mergeCell ref="D75:E75"/>
    <mergeCell ref="D76:E76"/>
    <mergeCell ref="D77:E77"/>
    <mergeCell ref="B80:F80"/>
    <mergeCell ref="D70:E70"/>
    <mergeCell ref="D71:E71"/>
    <mergeCell ref="D72:E72"/>
    <mergeCell ref="D73:E73"/>
    <mergeCell ref="D74:E74"/>
    <mergeCell ref="B47:F47"/>
    <mergeCell ref="B65:F65"/>
    <mergeCell ref="D67:E67"/>
    <mergeCell ref="D68:E68"/>
    <mergeCell ref="D69:E69"/>
    <mergeCell ref="B2:F2"/>
    <mergeCell ref="B3:F3"/>
    <mergeCell ref="B5:F5"/>
    <mergeCell ref="B18:F18"/>
    <mergeCell ref="B34:F34"/>
  </mergeCells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7"/>
  <sheetViews>
    <sheetView zoomScale="115" zoomScaleNormal="115" workbookViewId="0">
      <selection activeCell="D6" sqref="D6"/>
    </sheetView>
  </sheetViews>
  <sheetFormatPr defaultColWidth="8.73046875" defaultRowHeight="18" customHeight="1"/>
  <cols>
    <col min="1" max="1" width="8.73046875" style="41"/>
    <col min="2" max="2" width="22" style="41" customWidth="1"/>
    <col min="3" max="3" width="16" style="41" customWidth="1"/>
    <col min="4" max="4" width="12" style="41" customWidth="1"/>
    <col min="5" max="5" width="32" style="41" customWidth="1"/>
    <col min="6" max="6" width="20" style="41" customWidth="1"/>
    <col min="7" max="16384" width="8.73046875" style="41"/>
  </cols>
  <sheetData>
    <row r="2" spans="2:7" ht="23.25" customHeight="1">
      <c r="B2" s="371" t="s">
        <v>271</v>
      </c>
      <c r="C2" s="371"/>
      <c r="D2" s="371"/>
      <c r="E2" s="371"/>
      <c r="F2" s="371"/>
      <c r="G2" s="371"/>
    </row>
    <row r="4" spans="2:7" ht="20.25" customHeight="1">
      <c r="B4" s="372" t="s">
        <v>272</v>
      </c>
      <c r="C4" s="372"/>
      <c r="D4" s="372"/>
      <c r="E4" s="372"/>
      <c r="F4" s="372"/>
      <c r="G4" s="372"/>
    </row>
    <row r="5" spans="2:7" ht="15" customHeight="1">
      <c r="B5" s="42" t="s">
        <v>139</v>
      </c>
      <c r="C5" s="42" t="s">
        <v>273</v>
      </c>
      <c r="D5" s="42" t="s">
        <v>274</v>
      </c>
      <c r="E5" s="42" t="s">
        <v>247</v>
      </c>
      <c r="F5" s="42" t="s">
        <v>275</v>
      </c>
    </row>
    <row r="6" spans="2:7" ht="15" customHeight="1">
      <c r="B6" s="43" t="s">
        <v>144</v>
      </c>
      <c r="C6" s="44">
        <v>210</v>
      </c>
      <c r="D6" s="376" t="s">
        <v>999</v>
      </c>
      <c r="E6" s="45" t="s">
        <v>277</v>
      </c>
      <c r="F6" s="45" t="s">
        <v>278</v>
      </c>
    </row>
    <row r="7" spans="2:7" ht="15" customHeight="1">
      <c r="B7" s="43" t="s">
        <v>279</v>
      </c>
      <c r="C7" s="44">
        <v>650</v>
      </c>
      <c r="D7" s="43" t="s">
        <v>280</v>
      </c>
      <c r="E7" s="45" t="s">
        <v>281</v>
      </c>
      <c r="F7" s="45" t="s">
        <v>282</v>
      </c>
    </row>
    <row r="8" spans="2:7" ht="15" customHeight="1">
      <c r="B8" s="43" t="s">
        <v>283</v>
      </c>
      <c r="C8" s="44">
        <v>1300</v>
      </c>
      <c r="D8" s="43" t="s">
        <v>280</v>
      </c>
      <c r="E8" s="45" t="s">
        <v>284</v>
      </c>
      <c r="F8" s="45"/>
    </row>
    <row r="9" spans="2:7" ht="15" customHeight="1">
      <c r="B9" s="43" t="s">
        <v>285</v>
      </c>
      <c r="C9" s="44">
        <v>32</v>
      </c>
      <c r="D9" s="43" t="s">
        <v>286</v>
      </c>
      <c r="E9" s="45" t="s">
        <v>287</v>
      </c>
      <c r="F9" s="45" t="s">
        <v>288</v>
      </c>
    </row>
    <row r="10" spans="2:7" ht="15" customHeight="1">
      <c r="B10" s="43" t="s">
        <v>289</v>
      </c>
      <c r="C10" s="44">
        <v>0.4</v>
      </c>
      <c r="D10" s="43" t="s">
        <v>290</v>
      </c>
      <c r="E10" s="45" t="s">
        <v>291</v>
      </c>
      <c r="F10" s="45" t="s">
        <v>292</v>
      </c>
    </row>
    <row r="11" spans="2:7" ht="12" customHeight="1">
      <c r="B11" s="43" t="s">
        <v>293</v>
      </c>
      <c r="C11" s="44">
        <v>28</v>
      </c>
      <c r="D11" s="43" t="s">
        <v>294</v>
      </c>
      <c r="E11" s="45" t="s">
        <v>295</v>
      </c>
      <c r="F11" s="45" t="s">
        <v>292</v>
      </c>
    </row>
    <row r="12" spans="2:7" ht="15" customHeight="1">
      <c r="B12" s="43" t="s">
        <v>149</v>
      </c>
      <c r="C12" s="46">
        <f>C10*C11</f>
        <v>11.200000000000001</v>
      </c>
      <c r="D12" s="43" t="s">
        <v>296</v>
      </c>
      <c r="E12" s="45" t="s">
        <v>297</v>
      </c>
      <c r="F12" s="45" t="s">
        <v>298</v>
      </c>
    </row>
    <row r="13" spans="2:7" ht="15" customHeight="1">
      <c r="B13" s="43" t="s">
        <v>299</v>
      </c>
      <c r="C13" s="44">
        <v>500</v>
      </c>
      <c r="D13" s="43" t="s">
        <v>300</v>
      </c>
      <c r="E13" s="45" t="s">
        <v>301</v>
      </c>
      <c r="F13" s="45" t="s">
        <v>302</v>
      </c>
    </row>
    <row r="14" spans="2:7" ht="15" customHeight="1">
      <c r="B14" s="43" t="s">
        <v>303</v>
      </c>
      <c r="C14" s="47">
        <v>1</v>
      </c>
      <c r="D14" s="43"/>
      <c r="E14" s="45" t="s">
        <v>304</v>
      </c>
      <c r="F14" s="45" t="s">
        <v>305</v>
      </c>
    </row>
    <row r="15" spans="2:7" ht="15" customHeight="1">
      <c r="B15" s="43" t="s">
        <v>306</v>
      </c>
      <c r="C15" s="47">
        <v>1</v>
      </c>
      <c r="D15" s="43"/>
      <c r="E15" s="45" t="s">
        <v>307</v>
      </c>
      <c r="F15" s="45" t="s">
        <v>305</v>
      </c>
    </row>
    <row r="16" spans="2:7" ht="15" customHeight="1">
      <c r="B16" s="43" t="s">
        <v>308</v>
      </c>
      <c r="C16" s="46">
        <f>C13*C14</f>
        <v>500</v>
      </c>
      <c r="D16" s="43" t="s">
        <v>300</v>
      </c>
      <c r="E16" s="45" t="s">
        <v>309</v>
      </c>
      <c r="F16" s="45" t="s">
        <v>298</v>
      </c>
    </row>
    <row r="17" spans="2:7" ht="15" customHeight="1">
      <c r="B17" s="43" t="s">
        <v>310</v>
      </c>
      <c r="C17" s="46">
        <f>C13*C15</f>
        <v>500</v>
      </c>
      <c r="D17" s="43" t="s">
        <v>300</v>
      </c>
      <c r="E17" s="45" t="s">
        <v>311</v>
      </c>
      <c r="F17" s="45" t="s">
        <v>298</v>
      </c>
    </row>
    <row r="20" spans="2:7" ht="20.25" customHeight="1">
      <c r="B20" s="372" t="s">
        <v>312</v>
      </c>
      <c r="C20" s="372"/>
      <c r="D20" s="372"/>
      <c r="E20" s="372"/>
      <c r="F20" s="372"/>
      <c r="G20" s="372"/>
    </row>
    <row r="21" spans="2:7" ht="15" customHeight="1">
      <c r="B21" s="42" t="s">
        <v>139</v>
      </c>
      <c r="C21" s="42" t="s">
        <v>273</v>
      </c>
      <c r="D21" s="42" t="s">
        <v>274</v>
      </c>
      <c r="E21" s="42" t="s">
        <v>247</v>
      </c>
      <c r="F21" s="42" t="s">
        <v>275</v>
      </c>
    </row>
    <row r="22" spans="2:7" ht="15" customHeight="1">
      <c r="B22" s="43" t="s">
        <v>183</v>
      </c>
      <c r="C22" s="44">
        <v>30</v>
      </c>
      <c r="D22" s="43" t="s">
        <v>313</v>
      </c>
      <c r="E22" s="45" t="s">
        <v>314</v>
      </c>
      <c r="F22" s="45" t="s">
        <v>315</v>
      </c>
    </row>
    <row r="23" spans="2:7" ht="15" customHeight="1">
      <c r="B23" s="43" t="s">
        <v>187</v>
      </c>
      <c r="C23" s="44">
        <v>30</v>
      </c>
      <c r="D23" s="43" t="s">
        <v>313</v>
      </c>
      <c r="E23" s="45" t="s">
        <v>316</v>
      </c>
      <c r="F23" s="45" t="s">
        <v>317</v>
      </c>
    </row>
    <row r="24" spans="2:7" ht="15" customHeight="1">
      <c r="B24" s="43" t="s">
        <v>190</v>
      </c>
      <c r="C24" s="48">
        <v>5.5E-2</v>
      </c>
      <c r="D24" s="43"/>
      <c r="E24" s="45" t="s">
        <v>318</v>
      </c>
      <c r="F24" s="45" t="s">
        <v>319</v>
      </c>
    </row>
    <row r="25" spans="2:7" ht="15" customHeight="1">
      <c r="B25" s="43" t="s">
        <v>320</v>
      </c>
      <c r="C25" s="49">
        <f>C24/365</f>
        <v>1.5068493150684933E-4</v>
      </c>
      <c r="D25" s="43"/>
      <c r="E25" s="45" t="s">
        <v>321</v>
      </c>
      <c r="F25" s="45" t="s">
        <v>298</v>
      </c>
    </row>
    <row r="26" spans="2:7" ht="15" customHeight="1">
      <c r="B26" s="43" t="s">
        <v>322</v>
      </c>
      <c r="C26" s="50">
        <v>5.0000000000000001E-3</v>
      </c>
      <c r="D26" s="43"/>
      <c r="E26" s="45" t="s">
        <v>323</v>
      </c>
      <c r="F26" s="45" t="s">
        <v>324</v>
      </c>
    </row>
    <row r="27" spans="2:7" ht="15" customHeight="1">
      <c r="B27" s="43" t="s">
        <v>162</v>
      </c>
      <c r="C27" s="44">
        <v>0.3</v>
      </c>
      <c r="D27" s="43" t="s">
        <v>325</v>
      </c>
      <c r="E27" s="45" t="s">
        <v>326</v>
      </c>
      <c r="F27" s="45" t="s">
        <v>327</v>
      </c>
    </row>
    <row r="28" spans="2:7" ht="15" customHeight="1">
      <c r="B28" s="43" t="s">
        <v>328</v>
      </c>
      <c r="C28" s="47">
        <v>0.1</v>
      </c>
      <c r="D28" s="43"/>
      <c r="E28" s="45" t="s">
        <v>329</v>
      </c>
      <c r="F28" s="45" t="s">
        <v>324</v>
      </c>
    </row>
    <row r="29" spans="2:7">
      <c r="B29" s="43" t="s">
        <v>330</v>
      </c>
      <c r="C29" s="47">
        <v>0.1</v>
      </c>
      <c r="E29" s="45" t="s">
        <v>331</v>
      </c>
      <c r="F29" s="45" t="s">
        <v>324</v>
      </c>
    </row>
    <row r="30" spans="2:7">
      <c r="B30" s="43" t="s">
        <v>332</v>
      </c>
      <c r="C30" s="47">
        <v>0.15</v>
      </c>
      <c r="E30" s="45" t="s">
        <v>333</v>
      </c>
      <c r="F30" s="45" t="s">
        <v>324</v>
      </c>
    </row>
    <row r="31" spans="2:7">
      <c r="B31" s="51" t="s">
        <v>334</v>
      </c>
      <c r="C31" s="47">
        <v>0.25</v>
      </c>
      <c r="E31" s="45" t="s">
        <v>335</v>
      </c>
      <c r="F31" s="45" t="s">
        <v>324</v>
      </c>
    </row>
    <row r="32" spans="2:7">
      <c r="B32" s="52" t="s">
        <v>336</v>
      </c>
      <c r="C32" s="53">
        <v>0.09</v>
      </c>
      <c r="D32" s="54"/>
      <c r="E32" s="55" t="s">
        <v>337</v>
      </c>
      <c r="F32" s="55" t="s">
        <v>338</v>
      </c>
    </row>
    <row r="33" spans="2:6">
      <c r="B33" s="56" t="s">
        <v>158</v>
      </c>
      <c r="C33" s="57">
        <v>0.55000000000000004</v>
      </c>
      <c r="D33" s="58"/>
      <c r="E33" s="59" t="s">
        <v>339</v>
      </c>
      <c r="F33" s="59" t="s">
        <v>315</v>
      </c>
    </row>
    <row r="34" spans="2:6">
      <c r="B34" s="56" t="s">
        <v>340</v>
      </c>
      <c r="C34" s="57">
        <v>0.25</v>
      </c>
      <c r="D34" s="60" t="s">
        <v>341</v>
      </c>
      <c r="E34" s="59"/>
      <c r="F34" s="59"/>
    </row>
    <row r="35" spans="2:6" ht="18.75" customHeight="1">
      <c r="B35" s="372" t="s">
        <v>342</v>
      </c>
      <c r="C35" s="372"/>
      <c r="D35" s="372"/>
      <c r="E35" s="372"/>
      <c r="F35" s="372"/>
    </row>
    <row r="37" spans="2:6">
      <c r="B37" s="61" t="s">
        <v>343</v>
      </c>
      <c r="C37" s="62">
        <v>1</v>
      </c>
      <c r="D37" s="63" t="s">
        <v>344</v>
      </c>
      <c r="E37" s="64" t="s">
        <v>345</v>
      </c>
    </row>
    <row r="39" spans="2:6">
      <c r="B39" s="65" t="s">
        <v>139</v>
      </c>
      <c r="C39" s="65" t="s">
        <v>273</v>
      </c>
      <c r="D39" s="65" t="s">
        <v>274</v>
      </c>
      <c r="E39" s="65" t="s">
        <v>247</v>
      </c>
    </row>
    <row r="40" spans="2:6">
      <c r="B40" s="66" t="s">
        <v>346</v>
      </c>
      <c r="C40" s="67">
        <f>IF(C37=1,1,C13)</f>
        <v>1</v>
      </c>
      <c r="D40" s="66" t="s">
        <v>300</v>
      </c>
      <c r="E40" s="66" t="s">
        <v>347</v>
      </c>
    </row>
    <row r="41" spans="2:6">
      <c r="B41" s="66" t="s">
        <v>348</v>
      </c>
      <c r="C41" s="67">
        <f>C12*C8</f>
        <v>14560.000000000002</v>
      </c>
      <c r="D41" s="66" t="s">
        <v>280</v>
      </c>
      <c r="E41" s="66" t="s">
        <v>349</v>
      </c>
    </row>
    <row r="42" spans="2:6">
      <c r="B42" s="66" t="s">
        <v>350</v>
      </c>
      <c r="C42" s="67">
        <f>C12*C9</f>
        <v>358.40000000000003</v>
      </c>
      <c r="D42" s="66" t="s">
        <v>286</v>
      </c>
      <c r="E42" s="66" t="s">
        <v>351</v>
      </c>
    </row>
    <row r="43" spans="2:6">
      <c r="B43" s="66" t="s">
        <v>352</v>
      </c>
      <c r="C43" s="67">
        <f>C41*C40</f>
        <v>14560.000000000002</v>
      </c>
      <c r="D43" s="66" t="s">
        <v>280</v>
      </c>
      <c r="E43" s="66" t="s">
        <v>353</v>
      </c>
    </row>
    <row r="44" spans="2:6">
      <c r="B44" s="66" t="s">
        <v>354</v>
      </c>
      <c r="C44" s="67">
        <f>C42*C40</f>
        <v>358.40000000000003</v>
      </c>
      <c r="D44" s="66" t="s">
        <v>286</v>
      </c>
      <c r="E44" s="66" t="s">
        <v>355</v>
      </c>
    </row>
    <row r="45" spans="2:6">
      <c r="B45" s="66" t="s">
        <v>356</v>
      </c>
      <c r="C45" s="67">
        <f>C43*C16*0.97/100</f>
        <v>70616.000000000015</v>
      </c>
      <c r="D45" s="66" t="s">
        <v>357</v>
      </c>
      <c r="E45" s="66" t="s">
        <v>358</v>
      </c>
    </row>
    <row r="46" spans="2:6">
      <c r="B46" s="66" t="s">
        <v>359</v>
      </c>
      <c r="C46" s="67">
        <f>C43*C17*0.97/100</f>
        <v>70616.000000000015</v>
      </c>
      <c r="D46" s="66" t="s">
        <v>357</v>
      </c>
      <c r="E46" s="66" t="s">
        <v>360</v>
      </c>
    </row>
    <row r="47" spans="2:6">
      <c r="B47" s="66" t="s">
        <v>361</v>
      </c>
      <c r="C47" s="67">
        <f>(C45+C46)</f>
        <v>141232.00000000003</v>
      </c>
      <c r="D47" s="66" t="s">
        <v>357</v>
      </c>
      <c r="E47" s="66" t="s">
        <v>362</v>
      </c>
    </row>
  </sheetData>
  <mergeCells count="4">
    <mergeCell ref="B2:G2"/>
    <mergeCell ref="B4:G4"/>
    <mergeCell ref="B20:G20"/>
    <mergeCell ref="B35:F35"/>
  </mergeCells>
  <phoneticPr fontId="43" type="noConversion"/>
  <dataValidations count="1">
    <dataValidation type="list" allowBlank="1" showInputMessage="1" showErrorMessage="1" errorTitle="输入错误" error="请选择 1（单车模式）或 500（车队规模）" sqref="C37" xr:uid="{00000000-0002-0000-0100-000000000000}">
      <formula1>"1,500"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zoomScaleNormal="100" workbookViewId="0">
      <selection activeCell="H10" sqref="H10"/>
    </sheetView>
  </sheetViews>
  <sheetFormatPr defaultColWidth="8.73046875" defaultRowHeight="14.25" customHeight="1"/>
  <cols>
    <col min="2" max="2" width="9.265625" customWidth="1"/>
    <col min="3" max="3" width="14.73046875" customWidth="1"/>
    <col min="4" max="4" width="12" customWidth="1"/>
    <col min="5" max="6" width="14" customWidth="1"/>
    <col min="7" max="10" width="16.265625" customWidth="1"/>
    <col min="11" max="11" width="19.73046875" customWidth="1"/>
  </cols>
  <sheetData>
    <row r="2" spans="2:11" ht="19.5" customHeight="1">
      <c r="B2" s="373" t="s">
        <v>363</v>
      </c>
      <c r="C2" s="373"/>
      <c r="D2" s="373"/>
      <c r="E2" s="373"/>
      <c r="F2" s="373"/>
      <c r="G2" s="373"/>
      <c r="H2" s="373"/>
      <c r="I2" s="373"/>
      <c r="J2" s="373"/>
      <c r="K2" s="373"/>
    </row>
    <row r="4" spans="2:11" ht="15" customHeight="1">
      <c r="B4" s="68" t="s">
        <v>364</v>
      </c>
      <c r="C4" s="68" t="s">
        <v>365</v>
      </c>
      <c r="D4" s="68" t="s">
        <v>274</v>
      </c>
      <c r="E4" s="68" t="s">
        <v>366</v>
      </c>
      <c r="F4" s="69" t="s">
        <v>367</v>
      </c>
      <c r="G4" s="68" t="s">
        <v>368</v>
      </c>
      <c r="H4" s="69" t="s">
        <v>369</v>
      </c>
      <c r="I4" s="68" t="s">
        <v>370</v>
      </c>
      <c r="J4" s="69" t="s">
        <v>371</v>
      </c>
      <c r="K4" s="68" t="s">
        <v>247</v>
      </c>
    </row>
    <row r="5" spans="2:11" ht="15" customHeight="1">
      <c r="B5" s="70" t="s">
        <v>372</v>
      </c>
      <c r="C5" s="66" t="s">
        <v>373</v>
      </c>
      <c r="D5" s="71" t="s">
        <v>374</v>
      </c>
      <c r="E5" s="72">
        <v>390000</v>
      </c>
      <c r="F5" s="73">
        <v>0</v>
      </c>
      <c r="G5" s="74"/>
      <c r="H5" s="73">
        <v>0</v>
      </c>
      <c r="I5" s="74"/>
      <c r="J5" s="73">
        <v>0</v>
      </c>
      <c r="K5" s="75" t="s">
        <v>375</v>
      </c>
    </row>
    <row r="6" spans="2:11" ht="15" customHeight="1">
      <c r="B6" s="70"/>
      <c r="C6" s="66" t="s">
        <v>376</v>
      </c>
      <c r="D6" s="71" t="s">
        <v>374</v>
      </c>
      <c r="E6" s="72">
        <v>70000</v>
      </c>
      <c r="F6" s="76">
        <v>70000</v>
      </c>
      <c r="G6" s="74"/>
      <c r="H6" s="73"/>
      <c r="I6" s="74"/>
      <c r="J6" s="73"/>
      <c r="K6" s="75" t="s">
        <v>377</v>
      </c>
    </row>
    <row r="7" spans="2:11" ht="15" customHeight="1">
      <c r="B7" s="70"/>
      <c r="C7" s="66" t="s">
        <v>378</v>
      </c>
      <c r="D7" s="71" t="s">
        <v>374</v>
      </c>
      <c r="E7" s="72">
        <v>0</v>
      </c>
      <c r="F7" s="73">
        <v>0</v>
      </c>
      <c r="G7" s="74"/>
      <c r="H7" s="73">
        <v>0</v>
      </c>
      <c r="I7" s="74"/>
      <c r="J7" s="73">
        <v>0</v>
      </c>
      <c r="K7" s="75" t="s">
        <v>379</v>
      </c>
    </row>
    <row r="8" spans="2:11" ht="15" customHeight="1">
      <c r="B8" s="70"/>
      <c r="C8" s="77" t="s">
        <v>380</v>
      </c>
      <c r="D8" s="71" t="s">
        <v>381</v>
      </c>
      <c r="E8" s="78">
        <f>PMT(0.055/12,36,-E5*0.9)*36-E5*0.9</f>
        <v>30555.415199264709</v>
      </c>
      <c r="F8" s="73">
        <v>0</v>
      </c>
      <c r="G8" s="74"/>
      <c r="H8" s="73">
        <v>0</v>
      </c>
      <c r="I8" s="74"/>
      <c r="J8" s="73">
        <v>0</v>
      </c>
      <c r="K8" s="75" t="s">
        <v>382</v>
      </c>
    </row>
    <row r="9" spans="2:11" ht="15" customHeight="1">
      <c r="B9" s="79"/>
      <c r="C9" s="80" t="s">
        <v>383</v>
      </c>
      <c r="D9" s="81" t="s">
        <v>384</v>
      </c>
      <c r="E9" s="82"/>
      <c r="F9" s="83"/>
      <c r="G9" s="84">
        <f>(E5+E6+E7+E8)/48</f>
        <v>10219.904483318014</v>
      </c>
      <c r="H9" s="85">
        <f>0</f>
        <v>0</v>
      </c>
      <c r="I9" s="86">
        <f>G9*购置车辆数量</f>
        <v>5109952.241659007</v>
      </c>
      <c r="J9" s="85">
        <f>H9*购置车辆数量</f>
        <v>0</v>
      </c>
      <c r="K9" s="87" t="s">
        <v>385</v>
      </c>
    </row>
    <row r="10" spans="2:11" ht="15" customHeight="1">
      <c r="B10" s="88" t="s">
        <v>386</v>
      </c>
      <c r="C10" s="89" t="s">
        <v>387</v>
      </c>
      <c r="D10" s="90" t="s">
        <v>388</v>
      </c>
      <c r="E10" s="91">
        <v>0</v>
      </c>
      <c r="F10" s="92">
        <v>13500</v>
      </c>
      <c r="G10" s="93">
        <v>0</v>
      </c>
      <c r="H10" s="94">
        <f>F10+(F6)/48</f>
        <v>14958.333333333334</v>
      </c>
      <c r="I10" s="93">
        <v>0</v>
      </c>
      <c r="J10" s="85">
        <f>H10*购置车辆数量</f>
        <v>7479166.666666667</v>
      </c>
      <c r="K10" s="95" t="s">
        <v>389</v>
      </c>
    </row>
    <row r="11" spans="2:11" ht="15" customHeight="1">
      <c r="B11" s="96" t="s">
        <v>390</v>
      </c>
      <c r="C11" s="97" t="s">
        <v>391</v>
      </c>
      <c r="D11" s="98" t="s">
        <v>392</v>
      </c>
      <c r="E11" s="99">
        <v>4480</v>
      </c>
      <c r="F11" s="100">
        <v>0</v>
      </c>
      <c r="G11" s="101">
        <f>E11/12</f>
        <v>373.33333333333331</v>
      </c>
      <c r="H11" s="102">
        <v>0</v>
      </c>
      <c r="I11" s="101">
        <f>G11*'1-基础参数'!C16</f>
        <v>186666.66666666666</v>
      </c>
      <c r="J11" s="102">
        <v>0</v>
      </c>
      <c r="K11" s="103"/>
    </row>
    <row r="12" spans="2:11" ht="15" customHeight="1">
      <c r="B12" s="70"/>
      <c r="C12" s="66" t="s">
        <v>393</v>
      </c>
      <c r="D12" s="71" t="s">
        <v>392</v>
      </c>
      <c r="E12" s="72">
        <v>20920</v>
      </c>
      <c r="F12" s="73">
        <v>0</v>
      </c>
      <c r="G12" s="104">
        <f>E12/12</f>
        <v>1743.3333333333333</v>
      </c>
      <c r="H12" s="105">
        <v>0</v>
      </c>
      <c r="I12" s="104">
        <f>G12*'1-基础参数'!C16</f>
        <v>871666.66666666663</v>
      </c>
      <c r="J12" s="105">
        <v>0</v>
      </c>
      <c r="K12" s="75"/>
    </row>
    <row r="13" spans="2:11" ht="15" customHeight="1">
      <c r="B13" s="70"/>
      <c r="C13" s="66" t="s">
        <v>394</v>
      </c>
      <c r="D13" s="71" t="s">
        <v>392</v>
      </c>
      <c r="E13" s="72">
        <v>1100</v>
      </c>
      <c r="F13" s="73">
        <v>0</v>
      </c>
      <c r="G13" s="104">
        <f>E13/12</f>
        <v>91.666666666666671</v>
      </c>
      <c r="H13" s="105">
        <v>0</v>
      </c>
      <c r="I13" s="104">
        <f>G13*'1-基础参数'!C16</f>
        <v>45833.333333333336</v>
      </c>
      <c r="J13" s="105">
        <v>0</v>
      </c>
      <c r="K13" s="75"/>
    </row>
    <row r="14" spans="2:11" ht="15" customHeight="1">
      <c r="B14" s="80"/>
      <c r="C14" s="80" t="s">
        <v>395</v>
      </c>
      <c r="D14" s="81" t="s">
        <v>384</v>
      </c>
      <c r="E14" s="82"/>
      <c r="F14" s="83"/>
      <c r="G14" s="86">
        <f>SUM(G11:G13)</f>
        <v>2208.333333333333</v>
      </c>
      <c r="H14" s="85">
        <v>0</v>
      </c>
      <c r="I14" s="86">
        <f>G14*购置车辆数量</f>
        <v>1104166.6666666665</v>
      </c>
      <c r="J14" s="85">
        <f>H16*'1-基础参数'!C17</f>
        <v>0</v>
      </c>
      <c r="K14" s="106"/>
    </row>
    <row r="15" spans="2:11" ht="15" customHeight="1">
      <c r="B15" s="96" t="s">
        <v>396</v>
      </c>
      <c r="C15" s="97" t="s">
        <v>397</v>
      </c>
      <c r="D15" s="98" t="s">
        <v>325</v>
      </c>
      <c r="E15" s="107">
        <v>0.97</v>
      </c>
      <c r="F15" s="108">
        <v>0.97</v>
      </c>
      <c r="G15" s="109"/>
      <c r="H15" s="100"/>
      <c r="I15" s="109"/>
      <c r="J15" s="100"/>
      <c r="K15" s="103"/>
    </row>
    <row r="16" spans="2:11" ht="15" customHeight="1">
      <c r="B16" s="70"/>
      <c r="C16" s="66" t="s">
        <v>398</v>
      </c>
      <c r="D16" s="71" t="s">
        <v>399</v>
      </c>
      <c r="E16" s="110">
        <v>185</v>
      </c>
      <c r="F16" s="111">
        <v>185</v>
      </c>
      <c r="G16" s="74"/>
      <c r="H16" s="73"/>
      <c r="I16" s="74"/>
      <c r="J16" s="73"/>
      <c r="K16" s="75"/>
    </row>
    <row r="17" spans="2:11" ht="15" customHeight="1">
      <c r="B17" s="70"/>
      <c r="C17" s="66" t="s">
        <v>400</v>
      </c>
      <c r="D17" s="71" t="s">
        <v>399</v>
      </c>
      <c r="E17" s="110">
        <v>150</v>
      </c>
      <c r="F17" s="111">
        <v>150</v>
      </c>
      <c r="G17" s="74"/>
      <c r="H17" s="73"/>
      <c r="I17" s="74"/>
      <c r="J17" s="73"/>
      <c r="K17" s="75"/>
    </row>
    <row r="18" spans="2:11" ht="15" customHeight="1">
      <c r="B18" s="70"/>
      <c r="C18" s="66" t="s">
        <v>401</v>
      </c>
      <c r="D18" s="71" t="s">
        <v>402</v>
      </c>
      <c r="E18" s="112">
        <f>E16/100*单边公里数</f>
        <v>1202.5</v>
      </c>
      <c r="F18" s="112">
        <f>F16/100*单边公里数</f>
        <v>1202.5</v>
      </c>
      <c r="G18" s="104">
        <f t="shared" ref="G18:H20" si="0">E18</f>
        <v>1202.5</v>
      </c>
      <c r="H18" s="113">
        <f t="shared" si="0"/>
        <v>1202.5</v>
      </c>
      <c r="I18" s="104">
        <f>G18*'1-基础参数'!$C$13*'1-基础参数'!$C$14</f>
        <v>601250</v>
      </c>
      <c r="J18" s="113">
        <f>H18*'1-基础参数'!$C$13*'1-基础参数'!$C$15</f>
        <v>601250</v>
      </c>
      <c r="K18" s="75" t="s">
        <v>403</v>
      </c>
    </row>
    <row r="19" spans="2:11" ht="15" customHeight="1">
      <c r="B19" s="70"/>
      <c r="C19" s="66" t="s">
        <v>404</v>
      </c>
      <c r="D19" s="71" t="s">
        <v>402</v>
      </c>
      <c r="E19" s="114">
        <f>E16/100*单边公里数</f>
        <v>1202.5</v>
      </c>
      <c r="F19" s="115">
        <f>F16/100*单边公里数</f>
        <v>1202.5</v>
      </c>
      <c r="G19" s="104">
        <f t="shared" si="0"/>
        <v>1202.5</v>
      </c>
      <c r="H19" s="113">
        <f t="shared" si="0"/>
        <v>1202.5</v>
      </c>
      <c r="I19" s="104">
        <f>G19*'1-基础参数'!$C$13*'1-基础参数'!$C$14</f>
        <v>601250</v>
      </c>
      <c r="J19" s="113">
        <f>H19*'1-基础参数'!$C$13*'1-基础参数'!$C$15</f>
        <v>601250</v>
      </c>
      <c r="K19" s="75" t="s">
        <v>405</v>
      </c>
    </row>
    <row r="20" spans="2:11" ht="15" customHeight="1">
      <c r="B20" s="70"/>
      <c r="C20" s="66" t="s">
        <v>406</v>
      </c>
      <c r="D20" s="71" t="s">
        <v>402</v>
      </c>
      <c r="E20" s="74">
        <f>SUM(E18:E19)</f>
        <v>2405</v>
      </c>
      <c r="F20" s="73">
        <f>SUM(F18:F19)</f>
        <v>2405</v>
      </c>
      <c r="G20" s="104">
        <f t="shared" si="0"/>
        <v>2405</v>
      </c>
      <c r="H20" s="113">
        <f t="shared" si="0"/>
        <v>2405</v>
      </c>
      <c r="I20" s="116"/>
      <c r="J20" s="105"/>
      <c r="K20" s="75" t="s">
        <v>407</v>
      </c>
    </row>
    <row r="21" spans="2:11" ht="15" customHeight="1">
      <c r="B21" s="117"/>
      <c r="C21" s="80" t="s">
        <v>408</v>
      </c>
      <c r="D21" s="81" t="s">
        <v>384</v>
      </c>
      <c r="E21" s="82"/>
      <c r="F21" s="83"/>
      <c r="G21" s="118">
        <f>G20*'1-基础参数'!$C$12</f>
        <v>26936.000000000004</v>
      </c>
      <c r="H21" s="119">
        <f>H20*'1-基础参数'!$C$12</f>
        <v>26936.000000000004</v>
      </c>
      <c r="I21" s="86">
        <f>G21*购置车辆数量</f>
        <v>13468000.000000002</v>
      </c>
      <c r="J21" s="85">
        <f>H21*购置车辆数量</f>
        <v>13468000.000000002</v>
      </c>
      <c r="K21" s="106"/>
    </row>
    <row r="22" spans="2:11" ht="15" customHeight="1">
      <c r="B22" s="96" t="s">
        <v>409</v>
      </c>
      <c r="C22" s="97" t="s">
        <v>410</v>
      </c>
      <c r="D22" s="98" t="s">
        <v>411</v>
      </c>
      <c r="E22" s="99">
        <v>10000</v>
      </c>
      <c r="F22" s="120">
        <v>10000</v>
      </c>
      <c r="G22" s="109"/>
      <c r="H22" s="100"/>
      <c r="I22" s="109"/>
      <c r="J22" s="100"/>
      <c r="K22" s="103"/>
    </row>
    <row r="23" spans="2:11" ht="15" customHeight="1">
      <c r="B23" s="70"/>
      <c r="C23" s="66" t="s">
        <v>412</v>
      </c>
      <c r="D23" s="71" t="s">
        <v>413</v>
      </c>
      <c r="E23" s="121">
        <v>2</v>
      </c>
      <c r="F23" s="122">
        <v>2</v>
      </c>
      <c r="G23" s="74"/>
      <c r="H23" s="73"/>
      <c r="I23" s="74"/>
      <c r="J23" s="73"/>
      <c r="K23" s="75" t="s">
        <v>414</v>
      </c>
    </row>
    <row r="24" spans="2:11" ht="15" customHeight="1">
      <c r="B24" s="80"/>
      <c r="C24" s="80" t="s">
        <v>415</v>
      </c>
      <c r="D24" s="81" t="s">
        <v>384</v>
      </c>
      <c r="E24" s="82"/>
      <c r="F24" s="83"/>
      <c r="G24" s="86">
        <f>E22*E23</f>
        <v>20000</v>
      </c>
      <c r="H24" s="85">
        <f>F22*F23</f>
        <v>20000</v>
      </c>
      <c r="I24" s="86">
        <f>G24*购置车辆数量</f>
        <v>10000000</v>
      </c>
      <c r="J24" s="85">
        <f>H24*购置车辆数量</f>
        <v>10000000</v>
      </c>
      <c r="K24" s="106"/>
    </row>
    <row r="25" spans="2:11" ht="15" customHeight="1">
      <c r="B25" s="70" t="s">
        <v>416</v>
      </c>
      <c r="C25" s="66" t="s">
        <v>417</v>
      </c>
      <c r="D25" s="71" t="s">
        <v>418</v>
      </c>
      <c r="E25" s="110">
        <v>10000</v>
      </c>
      <c r="F25" s="111">
        <v>10000</v>
      </c>
      <c r="G25" s="74"/>
      <c r="H25" s="73"/>
      <c r="I25" s="74"/>
      <c r="J25" s="73"/>
      <c r="K25" s="75"/>
    </row>
    <row r="26" spans="2:11" ht="15" customHeight="1">
      <c r="B26" s="70"/>
      <c r="C26" s="66" t="s">
        <v>419</v>
      </c>
      <c r="D26" s="71" t="s">
        <v>420</v>
      </c>
      <c r="E26" s="72">
        <v>3000</v>
      </c>
      <c r="F26" s="76">
        <v>3000</v>
      </c>
      <c r="G26" s="74"/>
      <c r="H26" s="73"/>
      <c r="I26" s="74"/>
      <c r="J26" s="73"/>
      <c r="K26" s="75"/>
    </row>
    <row r="27" spans="2:11" ht="15" customHeight="1">
      <c r="B27" s="70"/>
      <c r="C27" s="66" t="s">
        <v>421</v>
      </c>
      <c r="D27" s="71" t="s">
        <v>422</v>
      </c>
      <c r="E27" s="123">
        <f>E26/E25</f>
        <v>0.3</v>
      </c>
      <c r="F27" s="124">
        <f>F26/F25</f>
        <v>0.3</v>
      </c>
      <c r="G27" s="78"/>
      <c r="H27" s="125"/>
      <c r="I27" s="74"/>
      <c r="J27" s="73"/>
      <c r="K27" s="75"/>
    </row>
    <row r="28" spans="2:11" ht="15" customHeight="1">
      <c r="B28" s="126"/>
      <c r="C28" s="127" t="s">
        <v>423</v>
      </c>
      <c r="D28" s="128" t="s">
        <v>384</v>
      </c>
      <c r="E28" s="129"/>
      <c r="F28" s="130"/>
      <c r="G28" s="131">
        <f>E27*'1-基础参数'!$C$8*'1-基础参数'!$C$12</f>
        <v>4368</v>
      </c>
      <c r="H28" s="132">
        <f>F27*'1-基础参数'!$C$8*'1-基础参数'!$C$12</f>
        <v>4368</v>
      </c>
      <c r="I28" s="131">
        <f>G28*购置车辆数量</f>
        <v>2184000</v>
      </c>
      <c r="J28" s="132">
        <f>H28*购置车辆数量</f>
        <v>2184000</v>
      </c>
      <c r="K28" s="133"/>
    </row>
    <row r="29" spans="2:11" ht="15" customHeight="1">
      <c r="B29" s="70" t="s">
        <v>424</v>
      </c>
      <c r="C29" s="66" t="s">
        <v>425</v>
      </c>
      <c r="D29" s="71" t="s">
        <v>411</v>
      </c>
      <c r="E29" s="72">
        <v>15000</v>
      </c>
      <c r="F29" s="76">
        <v>15000</v>
      </c>
      <c r="G29" s="74"/>
      <c r="H29" s="73"/>
      <c r="I29" s="74"/>
      <c r="J29" s="73"/>
      <c r="K29" s="75"/>
    </row>
    <row r="30" spans="2:11" ht="15" customHeight="1">
      <c r="B30" s="70"/>
      <c r="C30" s="66" t="s">
        <v>426</v>
      </c>
      <c r="D30" s="71" t="s">
        <v>427</v>
      </c>
      <c r="E30" s="110">
        <v>6</v>
      </c>
      <c r="F30" s="111">
        <v>6</v>
      </c>
      <c r="G30" s="74"/>
      <c r="H30" s="73"/>
      <c r="I30" s="74"/>
      <c r="J30" s="73"/>
      <c r="K30" s="75" t="s">
        <v>428</v>
      </c>
    </row>
    <row r="31" spans="2:11" ht="15" customHeight="1">
      <c r="B31" s="70"/>
      <c r="C31" s="66" t="s">
        <v>429</v>
      </c>
      <c r="D31" s="71" t="s">
        <v>300</v>
      </c>
      <c r="E31" s="110">
        <v>90</v>
      </c>
      <c r="F31" s="111">
        <v>90</v>
      </c>
      <c r="G31" s="74"/>
      <c r="H31" s="73"/>
      <c r="I31" s="74"/>
      <c r="J31" s="73"/>
      <c r="K31" s="75"/>
    </row>
    <row r="32" spans="2:11" ht="15" customHeight="1">
      <c r="B32" s="126"/>
      <c r="C32" s="127" t="s">
        <v>430</v>
      </c>
      <c r="D32" s="128" t="s">
        <v>384</v>
      </c>
      <c r="E32" s="134">
        <f>E29*E30/E31</f>
        <v>1000</v>
      </c>
      <c r="F32" s="135">
        <f>F29*F30/F31</f>
        <v>1000</v>
      </c>
      <c r="G32" s="131">
        <f>IF(E30=0,0,E29*E30/E31)</f>
        <v>1000</v>
      </c>
      <c r="H32" s="132">
        <f>IF(F30=0,0,F29*F30/F31)</f>
        <v>1000</v>
      </c>
      <c r="I32" s="131">
        <f>G32*购置车辆数量</f>
        <v>500000</v>
      </c>
      <c r="J32" s="132">
        <f>H32*购置车辆数量</f>
        <v>500000</v>
      </c>
      <c r="K32" s="133"/>
    </row>
    <row r="33" spans="2:11" ht="15" customHeight="1">
      <c r="B33" s="136" t="s">
        <v>431</v>
      </c>
      <c r="C33" s="137" t="s">
        <v>432</v>
      </c>
      <c r="D33" s="138" t="s">
        <v>276</v>
      </c>
      <c r="E33" s="139">
        <v>0</v>
      </c>
      <c r="F33" s="139">
        <v>0</v>
      </c>
      <c r="G33" s="140">
        <f>E33*'1-基础参数'!C9*'1-基础参数'!C12</f>
        <v>0</v>
      </c>
      <c r="H33" s="141">
        <f>F33*'1-基础参数'!C9*'1-基础参数'!C12</f>
        <v>0</v>
      </c>
      <c r="I33" s="142">
        <f>G33*'1-基础参数'!C16</f>
        <v>0</v>
      </c>
      <c r="J33" s="143">
        <f>H33*'1-基础参数'!C18</f>
        <v>0</v>
      </c>
      <c r="K33" s="75"/>
    </row>
    <row r="34" spans="2:11" ht="15" customHeight="1">
      <c r="B34" s="144" t="s">
        <v>433</v>
      </c>
      <c r="C34" s="145" t="s">
        <v>434</v>
      </c>
      <c r="D34" s="146" t="s">
        <v>384</v>
      </c>
      <c r="E34" s="147">
        <f>ROUND('1-基础参数'!C6*'1-基础参数'!C9*'1-基础参数'!C12*'1-基础参数'!$C$32,2)</f>
        <v>6773.76</v>
      </c>
      <c r="F34" s="148">
        <f>ROUND('1-基础参数'!C6*'1-基础参数'!C9*'1-基础参数'!C12*'1-基础参数'!$C$32,2)</f>
        <v>6773.76</v>
      </c>
      <c r="G34" s="149">
        <f>ROUND('1-基础参数'!C6*'1-基础参数'!C9*'1-基础参数'!C12*'1-基础参数'!$C$32,2)</f>
        <v>6773.76</v>
      </c>
      <c r="H34" s="150">
        <f>ROUND('1-基础参数'!C6*'1-基础参数'!C9*'1-基础参数'!C12*'1-基础参数'!$C$32,2)</f>
        <v>6773.76</v>
      </c>
      <c r="I34" s="151">
        <f>G34*购置车辆数量</f>
        <v>3386880</v>
      </c>
      <c r="J34" s="152">
        <f>H34*租赁车辆数量</f>
        <v>3386880</v>
      </c>
      <c r="K34" s="153" t="s">
        <v>435</v>
      </c>
    </row>
    <row r="35" spans="2:11" ht="19.5" customHeight="1">
      <c r="B35" s="154"/>
      <c r="C35" s="155" t="s">
        <v>436</v>
      </c>
      <c r="D35" s="156" t="s">
        <v>384</v>
      </c>
      <c r="E35" s="157"/>
      <c r="F35" s="158"/>
      <c r="G35" s="159">
        <f>G32+G28+G24+G21+G14+G9+G34</f>
        <v>71505.997816651347</v>
      </c>
      <c r="H35" s="160">
        <f>H32+H28+H24+H21+H14+H9+H10+H34</f>
        <v>74036.093333333323</v>
      </c>
      <c r="I35" s="159">
        <f>G35*购置车辆数量</f>
        <v>35752998.908325672</v>
      </c>
      <c r="J35" s="160">
        <f>H35*租赁车辆数量</f>
        <v>37018046.666666664</v>
      </c>
      <c r="K35" s="161"/>
    </row>
    <row r="36" spans="2:11" ht="15" customHeight="1">
      <c r="B36" s="70"/>
      <c r="C36" s="70"/>
      <c r="D36" s="162"/>
      <c r="E36" s="74"/>
      <c r="F36" s="73"/>
      <c r="G36" s="163"/>
      <c r="H36" s="164"/>
      <c r="I36" s="163"/>
      <c r="J36" s="163"/>
      <c r="K36" s="75"/>
    </row>
    <row r="37" spans="2:11" ht="15" customHeight="1">
      <c r="B37" s="374" t="s">
        <v>437</v>
      </c>
      <c r="C37" s="374"/>
      <c r="D37" s="374"/>
      <c r="E37" s="374"/>
      <c r="F37" s="374"/>
      <c r="G37" s="374"/>
      <c r="H37" s="374"/>
      <c r="I37" s="374"/>
      <c r="J37" s="374"/>
      <c r="K37" s="374"/>
    </row>
    <row r="38" spans="2:11" ht="15" customHeight="1">
      <c r="B38" s="165" t="s">
        <v>438</v>
      </c>
      <c r="C38" s="165" t="s">
        <v>439</v>
      </c>
      <c r="D38" s="165" t="s">
        <v>440</v>
      </c>
      <c r="E38" s="165" t="s">
        <v>441</v>
      </c>
      <c r="F38" s="165" t="s">
        <v>442</v>
      </c>
      <c r="G38" s="165" t="s">
        <v>443</v>
      </c>
      <c r="H38" s="165" t="s">
        <v>444</v>
      </c>
      <c r="I38" s="165" t="s">
        <v>445</v>
      </c>
      <c r="J38" s="165" t="s">
        <v>446</v>
      </c>
      <c r="K38" s="165" t="s">
        <v>274</v>
      </c>
    </row>
    <row r="39" spans="2:11" ht="15" customHeight="1">
      <c r="B39" s="166" t="s">
        <v>447</v>
      </c>
      <c r="C39" s="167">
        <f>G9/('1-基础参数'!C41*'1-基础参数'!C9)</f>
        <v>2.1934891147231312E-2</v>
      </c>
      <c r="D39" s="167">
        <f>H9/('1-基础参数'!C41*'1-基础参数'!C9)</f>
        <v>0</v>
      </c>
      <c r="E39" s="168">
        <f>G9/('1-基础参数'!C12*'1-基础参数'!C9)</f>
        <v>28.515358491400708</v>
      </c>
      <c r="F39" s="168">
        <f>H9/('1-基础参数'!C12*'1-基础参数'!C9)</f>
        <v>0</v>
      </c>
      <c r="G39" s="169">
        <f>G9/'1-基础参数'!C41</f>
        <v>0.70191651671140198</v>
      </c>
      <c r="H39" s="169">
        <f>H9/'1-基础参数'!C41</f>
        <v>0</v>
      </c>
      <c r="I39" s="170">
        <f>G9/'1-基础参数'!C12</f>
        <v>912.49147172482265</v>
      </c>
      <c r="J39" s="170">
        <f>H9/'1-基础参数'!C12</f>
        <v>0</v>
      </c>
      <c r="K39" s="171" t="s">
        <v>381</v>
      </c>
    </row>
    <row r="40" spans="2:11" ht="15" customHeight="1">
      <c r="B40" s="166" t="s">
        <v>386</v>
      </c>
      <c r="C40" s="167">
        <f>G10/('1-基础参数'!C41*'1-基础参数'!C9)</f>
        <v>0</v>
      </c>
      <c r="D40" s="167">
        <f>H10/('1-基础参数'!C41*'1-基础参数'!C9)</f>
        <v>3.2104939331501832E-2</v>
      </c>
      <c r="E40" s="168">
        <f>G10/('1-基础参数'!C12*'1-基础参数'!C9)</f>
        <v>0</v>
      </c>
      <c r="F40" s="168">
        <f>H10/('1-基础参数'!C12*'1-基础参数'!C9)</f>
        <v>41.73642113095238</v>
      </c>
      <c r="G40" s="169">
        <f>G10/'1-基础参数'!C41</f>
        <v>0</v>
      </c>
      <c r="H40" s="169">
        <f>H10/'1-基础参数'!C41</f>
        <v>1.0273580586080586</v>
      </c>
      <c r="I40" s="170">
        <f>G10/'1-基础参数'!C12</f>
        <v>0</v>
      </c>
      <c r="J40" s="170">
        <f>H10/'1-基础参数'!C12</f>
        <v>1335.5654761904761</v>
      </c>
      <c r="K40" s="171" t="s">
        <v>381</v>
      </c>
    </row>
    <row r="41" spans="2:11" ht="14.25" customHeight="1">
      <c r="B41" s="166" t="s">
        <v>390</v>
      </c>
      <c r="C41" s="167">
        <f>G14/('1-基础参数'!C41*'1-基础参数'!C9)</f>
        <v>4.7397264194139182E-3</v>
      </c>
      <c r="D41" s="167">
        <f>H14/('1-基础参数'!C41*'1-基础参数'!C9)</f>
        <v>0</v>
      </c>
      <c r="E41" s="168">
        <f>G14/('1-基础参数'!C12*'1-基础参数'!C9)</f>
        <v>6.161644345238094</v>
      </c>
      <c r="F41" s="168">
        <f>H14/('1-基础参数'!C12*'1-基础参数'!C9)</f>
        <v>0</v>
      </c>
      <c r="G41" s="169">
        <f>G14/'1-基础参数'!C41</f>
        <v>0.15167124542124538</v>
      </c>
      <c r="H41" s="169">
        <f>H14/'1-基础参数'!C41</f>
        <v>0</v>
      </c>
      <c r="I41" s="170">
        <f>G14/'1-基础参数'!C12</f>
        <v>197.17261904761901</v>
      </c>
      <c r="J41" s="170">
        <f>H14/'1-基础参数'!C12</f>
        <v>0</v>
      </c>
      <c r="K41" s="171" t="s">
        <v>381</v>
      </c>
    </row>
    <row r="42" spans="2:11" ht="14.25" customHeight="1">
      <c r="B42" s="166" t="s">
        <v>396</v>
      </c>
      <c r="C42" s="167">
        <f>G21/('1-基础参数'!C41*'1-基础参数'!C9)</f>
        <v>5.7812500000000003E-2</v>
      </c>
      <c r="D42" s="167">
        <f>H21/('1-基础参数'!C41*'1-基础参数'!C9)</f>
        <v>5.7812500000000003E-2</v>
      </c>
      <c r="E42" s="168">
        <f>G21/('1-基础参数'!C12*'1-基础参数'!C9)</f>
        <v>75.15625</v>
      </c>
      <c r="F42" s="168">
        <f>H21/('1-基础参数'!C12*'1-基础参数'!C9)</f>
        <v>75.15625</v>
      </c>
      <c r="G42" s="169">
        <f>G21/'1-基础参数'!C41</f>
        <v>1.85</v>
      </c>
      <c r="H42" s="169">
        <f>H21/'1-基础参数'!C41</f>
        <v>1.85</v>
      </c>
      <c r="I42" s="170">
        <f>G21/'1-基础参数'!C12</f>
        <v>2405</v>
      </c>
      <c r="J42" s="170">
        <f>H21/'1-基础参数'!C12</f>
        <v>2405</v>
      </c>
      <c r="K42" s="171" t="s">
        <v>381</v>
      </c>
    </row>
    <row r="43" spans="2:11" ht="14.25" customHeight="1">
      <c r="B43" s="166" t="s">
        <v>409</v>
      </c>
      <c r="C43" s="167">
        <f>G24/('1-基础参数'!C41*'1-基础参数'!C9)</f>
        <v>4.2925824175824169E-2</v>
      </c>
      <c r="D43" s="167">
        <f>H24/('1-基础参数'!C41*'1-基础参数'!C9)</f>
        <v>4.2925824175824169E-2</v>
      </c>
      <c r="E43" s="168">
        <f>G24/('1-基础参数'!C12*'1-基础参数'!C9)</f>
        <v>55.803571428571423</v>
      </c>
      <c r="F43" s="168">
        <f>H24/('1-基础参数'!C12*'1-基础参数'!C9)</f>
        <v>55.803571428571423</v>
      </c>
      <c r="G43" s="169">
        <f>G24/'1-基础参数'!C41</f>
        <v>1.3736263736263734</v>
      </c>
      <c r="H43" s="169">
        <f>H24/'1-基础参数'!C41</f>
        <v>1.3736263736263734</v>
      </c>
      <c r="I43" s="170">
        <f>G24/'1-基础参数'!C12</f>
        <v>1785.7142857142856</v>
      </c>
      <c r="J43" s="170">
        <f>H24/'1-基础参数'!C12</f>
        <v>1785.7142857142856</v>
      </c>
      <c r="K43" s="171" t="s">
        <v>381</v>
      </c>
    </row>
    <row r="44" spans="2:11" ht="14.25" customHeight="1">
      <c r="B44" s="166" t="s">
        <v>416</v>
      </c>
      <c r="C44" s="167">
        <f>G28/('1-基础参数'!C41*'1-基础参数'!C9)</f>
        <v>9.3749999999999997E-3</v>
      </c>
      <c r="D44" s="167">
        <f>H28/('1-基础参数'!C41*'1-基础参数'!C9)</f>
        <v>9.3749999999999997E-3</v>
      </c>
      <c r="E44" s="168">
        <f>G28/('1-基础参数'!C12*'1-基础参数'!C9)</f>
        <v>12.187499999999998</v>
      </c>
      <c r="F44" s="168">
        <f>H28/('1-基础参数'!C12*'1-基础参数'!C9)</f>
        <v>12.187499999999998</v>
      </c>
      <c r="G44" s="169">
        <f>G28/'1-基础参数'!C41</f>
        <v>0.3</v>
      </c>
      <c r="H44" s="169">
        <f>H28/'1-基础参数'!C41</f>
        <v>0.3</v>
      </c>
      <c r="I44" s="170">
        <f>G28/'1-基础参数'!C12</f>
        <v>389.99999999999994</v>
      </c>
      <c r="J44" s="170">
        <f>H28/'1-基础参数'!C12</f>
        <v>389.99999999999994</v>
      </c>
      <c r="K44" s="171" t="s">
        <v>381</v>
      </c>
    </row>
    <row r="45" spans="2:11" ht="14.25" customHeight="1">
      <c r="B45" s="166" t="s">
        <v>424</v>
      </c>
      <c r="C45" s="167">
        <f>G32/('1-基础参数'!C41*'1-基础参数'!C9)</f>
        <v>2.1462912087912085E-3</v>
      </c>
      <c r="D45" s="167">
        <f>H32/('1-基础参数'!C41*'1-基础参数'!C9)</f>
        <v>2.1462912087912085E-3</v>
      </c>
      <c r="E45" s="168">
        <f>G32/('1-基础参数'!C12*'1-基础参数'!C9)</f>
        <v>2.7901785714285712</v>
      </c>
      <c r="F45" s="168">
        <f>H32/('1-基础参数'!C12*'1-基础参数'!C9)</f>
        <v>2.7901785714285712</v>
      </c>
      <c r="G45" s="169">
        <f>G32/'1-基础参数'!C41</f>
        <v>6.8681318681318673E-2</v>
      </c>
      <c r="H45" s="169">
        <f>H32/'1-基础参数'!C41</f>
        <v>6.8681318681318673E-2</v>
      </c>
      <c r="I45" s="170">
        <f>G32/'1-基础参数'!C12</f>
        <v>89.285714285714278</v>
      </c>
      <c r="J45" s="170">
        <f>H32/'1-基础参数'!C12</f>
        <v>89.285714285714278</v>
      </c>
      <c r="K45" s="171" t="s">
        <v>381</v>
      </c>
    </row>
    <row r="46" spans="2:11" ht="14.25" customHeight="1">
      <c r="B46" s="166" t="s">
        <v>431</v>
      </c>
      <c r="C46" s="167">
        <f>G33/('1-基础参数'!C41*'1-基础参数'!C9)</f>
        <v>0</v>
      </c>
      <c r="D46" s="167">
        <f>H33/('1-基础参数'!C41*'1-基础参数'!C9)</f>
        <v>0</v>
      </c>
      <c r="E46" s="168">
        <f>G33/('1-基础参数'!C12*'1-基础参数'!C9)</f>
        <v>0</v>
      </c>
      <c r="F46" s="168">
        <f>H33/('1-基础参数'!C12*'1-基础参数'!C9)</f>
        <v>0</v>
      </c>
      <c r="G46" s="169">
        <f>G33/'1-基础参数'!C41</f>
        <v>0</v>
      </c>
      <c r="H46" s="169">
        <f>H33/'1-基础参数'!C41</f>
        <v>0</v>
      </c>
      <c r="I46" s="170">
        <f>G33/'1-基础参数'!C12</f>
        <v>0</v>
      </c>
      <c r="J46" s="170">
        <f>H33/'1-基础参数'!C12</f>
        <v>0</v>
      </c>
      <c r="K46" s="171" t="s">
        <v>381</v>
      </c>
    </row>
    <row r="47" spans="2:11" ht="14.25" customHeight="1">
      <c r="B47" s="172" t="s">
        <v>433</v>
      </c>
      <c r="C47" s="173">
        <f>G34/('1-基础参数'!C41*'1-基础参数'!C9)</f>
        <v>1.4538461538461537E-2</v>
      </c>
      <c r="D47" s="173">
        <f>H34/('1-基础参数'!C41*'1-基础参数'!C9)</f>
        <v>1.4538461538461537E-2</v>
      </c>
      <c r="E47" s="174">
        <f>G34/('1-基础参数'!C12*'1-基础参数'!C9)</f>
        <v>18.899999999999999</v>
      </c>
      <c r="F47" s="174">
        <f>H34/('1-基础参数'!C12*'1-基础参数'!C9)</f>
        <v>18.899999999999999</v>
      </c>
      <c r="G47" s="175">
        <f>G34/'1-基础参数'!C41</f>
        <v>0.46523076923076917</v>
      </c>
      <c r="H47" s="175">
        <f>H34/'1-基础参数'!C41</f>
        <v>0.46523076923076917</v>
      </c>
      <c r="I47" s="176">
        <f>G34/'1-基础参数'!C12</f>
        <v>604.79999999999995</v>
      </c>
      <c r="J47" s="176">
        <f>H34/'1-基础参数'!C12</f>
        <v>604.79999999999995</v>
      </c>
      <c r="K47" s="177" t="s">
        <v>381</v>
      </c>
    </row>
    <row r="48" spans="2:11" ht="14.25" customHeight="1">
      <c r="B48" s="178" t="s">
        <v>448</v>
      </c>
      <c r="C48" s="179">
        <f t="shared" ref="C48:J48" si="1">SUM(C39:C47)</f>
        <v>0.15347269448972212</v>
      </c>
      <c r="D48" s="179">
        <f t="shared" si="1"/>
        <v>0.15890301625457873</v>
      </c>
      <c r="E48" s="180">
        <f t="shared" si="1"/>
        <v>199.5145028366388</v>
      </c>
      <c r="F48" s="180">
        <f t="shared" si="1"/>
        <v>206.57392113095239</v>
      </c>
      <c r="G48" s="181">
        <f t="shared" si="1"/>
        <v>4.9111262236711077</v>
      </c>
      <c r="H48" s="181">
        <f t="shared" si="1"/>
        <v>5.0848965201465193</v>
      </c>
      <c r="I48" s="182">
        <f t="shared" si="1"/>
        <v>6384.4640907724415</v>
      </c>
      <c r="J48" s="182">
        <f t="shared" si="1"/>
        <v>6610.3654761904763</v>
      </c>
      <c r="K48" s="183" t="s">
        <v>381</v>
      </c>
    </row>
  </sheetData>
  <mergeCells count="2">
    <mergeCell ref="B2:K2"/>
    <mergeCell ref="B37:K3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zoomScaleNormal="100" workbookViewId="0">
      <selection activeCell="D9" sqref="D9"/>
    </sheetView>
  </sheetViews>
  <sheetFormatPr defaultColWidth="8.73046875" defaultRowHeight="14.25" customHeight="1"/>
  <cols>
    <col min="2" max="2" width="20" customWidth="1"/>
    <col min="3" max="3" width="18" customWidth="1"/>
    <col min="4" max="7" width="14" customWidth="1"/>
    <col min="8" max="8" width="10" customWidth="1"/>
    <col min="9" max="9" width="18" customWidth="1"/>
  </cols>
  <sheetData>
    <row r="2" spans="2:9" ht="19.5" customHeight="1">
      <c r="B2" s="373" t="s">
        <v>449</v>
      </c>
      <c r="C2" s="373"/>
      <c r="D2" s="373"/>
      <c r="E2" s="373"/>
      <c r="F2" s="373"/>
      <c r="G2" s="373"/>
      <c r="H2" s="373"/>
      <c r="I2" s="373"/>
    </row>
    <row r="4" spans="2:9" ht="15" customHeight="1">
      <c r="B4" s="68" t="s">
        <v>450</v>
      </c>
      <c r="C4" s="68" t="s">
        <v>451</v>
      </c>
      <c r="D4" s="68" t="s">
        <v>452</v>
      </c>
      <c r="E4" s="68" t="s">
        <v>453</v>
      </c>
      <c r="F4" s="68" t="s">
        <v>454</v>
      </c>
      <c r="G4" s="68" t="s">
        <v>455</v>
      </c>
      <c r="H4" s="68" t="s">
        <v>274</v>
      </c>
      <c r="I4" s="68" t="s">
        <v>247</v>
      </c>
    </row>
    <row r="5" spans="2:9" ht="15" customHeight="1">
      <c r="B5" s="184" t="s">
        <v>456</v>
      </c>
      <c r="C5" s="185"/>
      <c r="D5" s="186"/>
      <c r="E5" s="186"/>
      <c r="F5" s="186"/>
      <c r="G5" s="186"/>
      <c r="H5" s="186"/>
      <c r="I5" s="186"/>
    </row>
    <row r="6" spans="2:9" ht="15" customHeight="1">
      <c r="B6" s="137" t="s">
        <v>457</v>
      </c>
      <c r="C6" s="137" t="s">
        <v>458</v>
      </c>
      <c r="D6" s="142">
        <f>'1-基础参数'!C6*'1-基础参数'!C9*'1-基础参数'!C12</f>
        <v>75264</v>
      </c>
      <c r="E6" s="142">
        <f>'1-基础参数'!C6*'1-基础参数'!C9*'1-基础参数'!C12</f>
        <v>75264</v>
      </c>
      <c r="F6" s="142">
        <f>D6*'1-基础参数'!C16</f>
        <v>37632000</v>
      </c>
      <c r="G6" s="142">
        <f>E6*'1-基础参数'!C17</f>
        <v>37632000</v>
      </c>
      <c r="H6" s="187" t="s">
        <v>384</v>
      </c>
      <c r="I6" s="187" t="s">
        <v>203</v>
      </c>
    </row>
    <row r="7" spans="2:9" ht="15" customHeight="1">
      <c r="B7" s="188"/>
      <c r="C7" s="188"/>
      <c r="D7" s="74"/>
      <c r="E7" s="74"/>
      <c r="F7" s="74"/>
      <c r="G7" s="74"/>
      <c r="H7" s="189"/>
      <c r="I7" s="189"/>
    </row>
    <row r="8" spans="2:9" ht="15" customHeight="1">
      <c r="B8" s="190" t="s">
        <v>459</v>
      </c>
      <c r="C8" s="185"/>
      <c r="D8" s="191"/>
      <c r="E8" s="191"/>
      <c r="F8" s="191"/>
      <c r="G8" s="191"/>
      <c r="H8" s="186"/>
      <c r="I8" s="186"/>
    </row>
    <row r="9" spans="2:9" ht="15" customHeight="1">
      <c r="B9" s="192" t="s">
        <v>447</v>
      </c>
      <c r="C9" s="137" t="s">
        <v>460</v>
      </c>
      <c r="D9" s="193">
        <f>'2-单车成本测算'!G9</f>
        <v>10219.904483318014</v>
      </c>
      <c r="E9" s="193">
        <f>'2-单车成本测算'!H9</f>
        <v>0</v>
      </c>
      <c r="F9" s="193">
        <f>'2-单车成本测算'!I9</f>
        <v>5109952.241659007</v>
      </c>
      <c r="G9" s="193">
        <f>'2-单车成本测算'!J9</f>
        <v>0</v>
      </c>
      <c r="H9" s="187" t="s">
        <v>384</v>
      </c>
      <c r="I9" s="187" t="s">
        <v>461</v>
      </c>
    </row>
    <row r="10" spans="2:9" ht="15" customHeight="1">
      <c r="B10" s="66" t="s">
        <v>386</v>
      </c>
      <c r="C10" s="66" t="s">
        <v>460</v>
      </c>
      <c r="D10" s="116">
        <f>'2-单车成本测算'!G10</f>
        <v>0</v>
      </c>
      <c r="E10" s="116">
        <f>'2-单车成本测算'!H10</f>
        <v>14958.333333333334</v>
      </c>
      <c r="F10" s="116">
        <f>'2-单车成本测算'!I10</f>
        <v>0</v>
      </c>
      <c r="G10" s="116">
        <f>'2-单车成本测算'!J10</f>
        <v>7479166.666666667</v>
      </c>
      <c r="H10" s="194" t="s">
        <v>384</v>
      </c>
      <c r="I10" s="194" t="s">
        <v>462</v>
      </c>
    </row>
    <row r="11" spans="2:9" ht="15" customHeight="1">
      <c r="B11" s="195" t="s">
        <v>390</v>
      </c>
      <c r="C11" s="195" t="s">
        <v>460</v>
      </c>
      <c r="D11" s="196">
        <f>'2-单车成本测算'!G14</f>
        <v>2208.333333333333</v>
      </c>
      <c r="E11" s="196">
        <f>'2-单车成本测算'!H14</f>
        <v>0</v>
      </c>
      <c r="F11" s="196">
        <f>'2-单车成本测算'!I14</f>
        <v>1104166.6666666665</v>
      </c>
      <c r="G11" s="196">
        <f>'2-单车成本测算'!J14</f>
        <v>0</v>
      </c>
      <c r="H11" s="197" t="s">
        <v>384</v>
      </c>
      <c r="I11" s="197" t="s">
        <v>463</v>
      </c>
    </row>
    <row r="12" spans="2:9" ht="15" customHeight="1">
      <c r="B12" s="66" t="s">
        <v>396</v>
      </c>
      <c r="C12" s="66" t="s">
        <v>460</v>
      </c>
      <c r="D12" s="116">
        <f>'2-单车成本测算'!G21</f>
        <v>26936.000000000004</v>
      </c>
      <c r="E12" s="116">
        <f>'2-单车成本测算'!H21</f>
        <v>26936.000000000004</v>
      </c>
      <c r="F12" s="116">
        <f>'2-单车成本测算'!I21</f>
        <v>13468000.000000002</v>
      </c>
      <c r="G12" s="116">
        <f>'2-单车成本测算'!J21</f>
        <v>13468000.000000002</v>
      </c>
      <c r="H12" s="194" t="s">
        <v>384</v>
      </c>
      <c r="I12" s="194" t="s">
        <v>464</v>
      </c>
    </row>
    <row r="13" spans="2:9" ht="15" customHeight="1">
      <c r="B13" s="66" t="s">
        <v>409</v>
      </c>
      <c r="C13" s="66" t="s">
        <v>460</v>
      </c>
      <c r="D13" s="116">
        <f>'2-单车成本测算'!G24</f>
        <v>20000</v>
      </c>
      <c r="E13" s="116">
        <f>'2-单车成本测算'!H24</f>
        <v>20000</v>
      </c>
      <c r="F13" s="116">
        <f>'2-单车成本测算'!I24</f>
        <v>10000000</v>
      </c>
      <c r="G13" s="116">
        <f>'2-单车成本测算'!J24</f>
        <v>10000000</v>
      </c>
      <c r="H13" s="194" t="s">
        <v>384</v>
      </c>
      <c r="I13" s="194" t="s">
        <v>410</v>
      </c>
    </row>
    <row r="14" spans="2:9" ht="15" customHeight="1">
      <c r="B14" s="137" t="s">
        <v>416</v>
      </c>
      <c r="C14" s="137" t="s">
        <v>460</v>
      </c>
      <c r="D14" s="193">
        <f>'2-单车成本测算'!G28</f>
        <v>4368</v>
      </c>
      <c r="E14" s="193">
        <f>'2-单车成本测算'!H28</f>
        <v>4368</v>
      </c>
      <c r="F14" s="193">
        <f>'2-单车成本测算'!I28</f>
        <v>2184000</v>
      </c>
      <c r="G14" s="193">
        <f>'2-单车成本测算'!J28</f>
        <v>2184000</v>
      </c>
      <c r="H14" s="187" t="s">
        <v>384</v>
      </c>
      <c r="I14" s="187" t="s">
        <v>465</v>
      </c>
    </row>
    <row r="15" spans="2:9" ht="15" customHeight="1">
      <c r="B15" s="66" t="s">
        <v>424</v>
      </c>
      <c r="C15" s="66" t="s">
        <v>460</v>
      </c>
      <c r="D15" s="116">
        <f>'2-单车成本测算'!G32</f>
        <v>1000</v>
      </c>
      <c r="E15" s="116">
        <f>'2-单车成本测算'!H32</f>
        <v>1000</v>
      </c>
      <c r="F15" s="116">
        <f>'2-单车成本测算'!I32</f>
        <v>500000</v>
      </c>
      <c r="G15" s="116">
        <f>'2-单车成本测算'!J32</f>
        <v>500000</v>
      </c>
      <c r="H15" s="194" t="s">
        <v>384</v>
      </c>
      <c r="I15" s="194" t="s">
        <v>466</v>
      </c>
    </row>
    <row r="16" spans="2:9" ht="15" customHeight="1">
      <c r="B16" s="195" t="s">
        <v>431</v>
      </c>
      <c r="C16" s="195" t="s">
        <v>460</v>
      </c>
      <c r="D16" s="196">
        <f>'2-单车成本测算'!G33</f>
        <v>0</v>
      </c>
      <c r="E16" s="196">
        <f>'2-单车成本测算'!H33</f>
        <v>0</v>
      </c>
      <c r="F16" s="196">
        <f>'2-单车成本测算'!I33</f>
        <v>0</v>
      </c>
      <c r="G16" s="196">
        <f>'2-单车成本测算'!J33</f>
        <v>0</v>
      </c>
      <c r="H16" s="197" t="s">
        <v>384</v>
      </c>
      <c r="I16" s="197" t="s">
        <v>467</v>
      </c>
    </row>
    <row r="17" spans="2:9" ht="15" customHeight="1">
      <c r="B17" s="198" t="s">
        <v>433</v>
      </c>
      <c r="C17" s="198" t="s">
        <v>460</v>
      </c>
      <c r="D17" s="199">
        <f>'2-单车成本测算'!G34</f>
        <v>6773.76</v>
      </c>
      <c r="E17" s="199">
        <f>'2-单车成本测算'!H34</f>
        <v>6773.76</v>
      </c>
      <c r="F17" s="199">
        <f>'2-单车成本测算'!I34</f>
        <v>3386880</v>
      </c>
      <c r="G17" s="199">
        <f>'2-单车成本测算'!J34</f>
        <v>3386880</v>
      </c>
      <c r="H17" s="200" t="s">
        <v>384</v>
      </c>
      <c r="I17" s="200" t="s">
        <v>468</v>
      </c>
    </row>
    <row r="18" spans="2:9" ht="15" customHeight="1">
      <c r="B18" s="201" t="s">
        <v>469</v>
      </c>
      <c r="C18" s="201" t="s">
        <v>460</v>
      </c>
      <c r="D18" s="202">
        <f>'2-单车成本测算'!G35</f>
        <v>71505.997816651347</v>
      </c>
      <c r="E18" s="202">
        <f>'2-单车成本测算'!H35</f>
        <v>74036.093333333323</v>
      </c>
      <c r="F18" s="202">
        <f>'2-单车成本测算'!I35</f>
        <v>35752998.908325672</v>
      </c>
      <c r="G18" s="202">
        <f>'2-单车成本测算'!J35</f>
        <v>37018046.666666664</v>
      </c>
      <c r="H18" s="203" t="s">
        <v>384</v>
      </c>
      <c r="I18" s="203" t="s">
        <v>448</v>
      </c>
    </row>
    <row r="19" spans="2:9" ht="15" customHeight="1">
      <c r="B19" s="70"/>
      <c r="C19" s="70"/>
      <c r="D19" s="204"/>
      <c r="E19" s="204"/>
      <c r="F19" s="204"/>
      <c r="G19" s="204"/>
      <c r="H19" s="205"/>
      <c r="I19" s="205"/>
    </row>
    <row r="20" spans="2:9" ht="15" customHeight="1">
      <c r="B20" s="190" t="s">
        <v>470</v>
      </c>
      <c r="C20" s="185"/>
      <c r="D20" s="191"/>
      <c r="E20" s="191"/>
      <c r="F20" s="191"/>
      <c r="G20" s="191"/>
      <c r="H20" s="186"/>
      <c r="I20" s="186"/>
    </row>
    <row r="21" spans="2:9" ht="15" customHeight="1">
      <c r="B21" s="66" t="s">
        <v>471</v>
      </c>
      <c r="D21" s="206">
        <f>D6-D18</f>
        <v>3758.0021833486535</v>
      </c>
      <c r="E21" s="206">
        <f>E6-E18</f>
        <v>1227.9066666666768</v>
      </c>
      <c r="F21" s="206">
        <f>F6-F18</f>
        <v>1879001.0916743279</v>
      </c>
      <c r="G21" s="206">
        <f>G6-G18</f>
        <v>613953.33333333582</v>
      </c>
      <c r="H21" s="194" t="s">
        <v>384</v>
      </c>
      <c r="I21" s="205"/>
    </row>
    <row r="22" spans="2:9" ht="15" customHeight="1">
      <c r="B22" s="66" t="s">
        <v>472</v>
      </c>
      <c r="C22" s="66"/>
      <c r="D22" s="207">
        <f>D21/D6</f>
        <v>4.9930938873148561E-2</v>
      </c>
      <c r="E22" s="207">
        <f>E21/E6</f>
        <v>1.6314661281179272E-2</v>
      </c>
      <c r="F22" s="207">
        <f>F21/F6</f>
        <v>4.9930938873148596E-2</v>
      </c>
      <c r="G22" s="207">
        <f>G21/G6</f>
        <v>1.6314661281179203E-2</v>
      </c>
      <c r="H22" s="194" t="s">
        <v>473</v>
      </c>
      <c r="I22" s="194"/>
    </row>
    <row r="23" spans="2:9" ht="15" customHeight="1">
      <c r="B23" s="66" t="s">
        <v>474</v>
      </c>
      <c r="C23" s="66" t="s">
        <v>475</v>
      </c>
      <c r="D23" s="104">
        <f>D21-'2-单车成本测算'!E8/60</f>
        <v>3248.7452633609082</v>
      </c>
      <c r="E23" s="116">
        <f>E21</f>
        <v>1227.9066666666768</v>
      </c>
      <c r="F23" s="104">
        <f>F21-'2-单车成本测算'!E8*'1-基础参数'!C16/60</f>
        <v>1624372.6316804553</v>
      </c>
      <c r="G23" s="116">
        <f>G21</f>
        <v>613953.33333333582</v>
      </c>
      <c r="H23" s="194" t="s">
        <v>384</v>
      </c>
      <c r="I23" s="194" t="s">
        <v>476</v>
      </c>
    </row>
    <row r="24" spans="2:9" ht="15" customHeight="1">
      <c r="B24" s="136" t="s">
        <v>477</v>
      </c>
      <c r="C24" s="137" t="s">
        <v>478</v>
      </c>
      <c r="D24" s="208">
        <f>IF(D6=0,0,D23*12/('2-单车成本测算'!$E$5+'2-单车成本测算'!$E$6+'2-单车成本测算'!$E$8))</f>
        <v>7.9471028047861075E-2</v>
      </c>
      <c r="E24" s="208"/>
      <c r="F24" s="208"/>
      <c r="G24" s="208"/>
      <c r="H24" s="209" t="s">
        <v>473</v>
      </c>
      <c r="I24" s="209"/>
    </row>
    <row r="25" spans="2:9" ht="15" customHeight="1">
      <c r="B25" s="70"/>
      <c r="C25" s="66"/>
      <c r="D25" s="207"/>
      <c r="E25" s="207"/>
      <c r="F25" s="207"/>
      <c r="G25" s="207"/>
      <c r="H25" s="205"/>
      <c r="I25" s="205"/>
    </row>
    <row r="26" spans="2:9" ht="15" customHeight="1">
      <c r="B26" s="184" t="s">
        <v>479</v>
      </c>
      <c r="C26" s="184"/>
      <c r="D26" s="210"/>
      <c r="E26" s="210"/>
      <c r="F26" s="210"/>
      <c r="G26" s="210"/>
      <c r="H26" s="211"/>
      <c r="I26" s="211"/>
    </row>
    <row r="27" spans="2:9" ht="15" customHeight="1">
      <c r="B27" s="66" t="s">
        <v>480</v>
      </c>
      <c r="C27" s="66" t="s">
        <v>481</v>
      </c>
      <c r="D27" s="212">
        <f>D18/('1-基础参数'!C9*'1-基础参数'!C12)</f>
        <v>199.51450283663877</v>
      </c>
      <c r="E27" s="212">
        <f>E18/('1-基础参数'!C9*'1-基础参数'!C12)</f>
        <v>206.57392113095233</v>
      </c>
      <c r="F27" s="213"/>
      <c r="G27" s="213"/>
      <c r="H27" s="194" t="s">
        <v>276</v>
      </c>
      <c r="I27" s="194" t="s">
        <v>482</v>
      </c>
    </row>
    <row r="28" spans="2:9" ht="15" customHeight="1">
      <c r="B28" s="66" t="s">
        <v>483</v>
      </c>
      <c r="C28" s="66" t="s">
        <v>484</v>
      </c>
      <c r="D28" s="212">
        <f>D18/('1-基础参数'!C6*'1-基础参数'!C9)</f>
        <v>10.640773484620736</v>
      </c>
      <c r="E28" s="212">
        <f>E18/('1-基础参数'!C6*'1-基础参数'!C9)</f>
        <v>11.017275793650793</v>
      </c>
      <c r="F28" s="213"/>
      <c r="G28" s="213"/>
      <c r="H28" s="194" t="s">
        <v>296</v>
      </c>
      <c r="I28" s="194" t="s">
        <v>485</v>
      </c>
    </row>
    <row r="29" spans="2:9" ht="15" customHeight="1">
      <c r="B29" s="66" t="s">
        <v>486</v>
      </c>
      <c r="C29" s="66" t="s">
        <v>487</v>
      </c>
      <c r="D29" s="212">
        <f>D18/('1-基础参数'!C6*'1-基础参数'!C12)</f>
        <v>30.402209956059245</v>
      </c>
      <c r="E29" s="212">
        <f>E18/('1-基础参数'!C6*'1-基础参数'!C12)</f>
        <v>31.477930839002262</v>
      </c>
      <c r="F29" s="213"/>
      <c r="G29" s="213"/>
      <c r="H29" s="194" t="s">
        <v>286</v>
      </c>
      <c r="I29" s="194" t="s">
        <v>488</v>
      </c>
    </row>
    <row r="30" spans="2:9" ht="15" customHeight="1">
      <c r="B30" s="66" t="s">
        <v>489</v>
      </c>
      <c r="C30" s="188" t="s">
        <v>490</v>
      </c>
      <c r="D30" s="214">
        <f>('1-基础参数'!$C$6-D$27)/'1-基础参数'!$C$6</f>
        <v>4.9930938873148721E-2</v>
      </c>
      <c r="E30" s="214">
        <f>('1-基础参数'!$C$6-E$27)/'1-基础参数'!$C$6</f>
        <v>1.631466128117939E-2</v>
      </c>
      <c r="F30" s="215"/>
      <c r="G30" s="216"/>
      <c r="H30" s="189" t="s">
        <v>473</v>
      </c>
      <c r="I30" s="194" t="s">
        <v>491</v>
      </c>
    </row>
    <row r="31" spans="2:9" ht="15" customHeight="1">
      <c r="B31" s="137" t="s">
        <v>492</v>
      </c>
      <c r="C31" s="217" t="s">
        <v>490</v>
      </c>
      <c r="D31" s="218">
        <f>('1-基础参数'!$C$12-D$28)/'1-基础参数'!$C$12</f>
        <v>4.9930938873148679E-2</v>
      </c>
      <c r="E31" s="218">
        <f>('1-基础参数'!$C$12-E$28)/'1-基础参数'!$C$12</f>
        <v>1.631466128117931E-2</v>
      </c>
      <c r="F31" s="192"/>
      <c r="G31" s="192"/>
      <c r="H31" s="219" t="s">
        <v>473</v>
      </c>
      <c r="I31" s="187" t="s">
        <v>493</v>
      </c>
    </row>
    <row r="32" spans="2:9">
      <c r="D32" s="220"/>
      <c r="E32" s="220"/>
      <c r="F32" s="220"/>
      <c r="G32" s="220"/>
    </row>
    <row r="33" spans="4:7">
      <c r="D33" s="221"/>
      <c r="E33" s="221"/>
      <c r="F33" s="221"/>
      <c r="G33" s="221"/>
    </row>
  </sheetData>
  <mergeCells count="1">
    <mergeCell ref="B2:I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92"/>
  <sheetViews>
    <sheetView zoomScale="85" zoomScaleNormal="85" workbookViewId="0">
      <pane xSplit="1" ySplit="7" topLeftCell="B53" activePane="bottomRight" state="frozen"/>
      <selection pane="topRight" activeCell="B1" sqref="B1"/>
      <selection pane="bottomLeft" activeCell="A53" sqref="A53"/>
      <selection pane="bottomRight" activeCell="M77" sqref="M77"/>
    </sheetView>
  </sheetViews>
  <sheetFormatPr defaultColWidth="9" defaultRowHeight="14.25" customHeight="1"/>
  <cols>
    <col min="2" max="2" width="44" customWidth="1"/>
    <col min="3" max="3" width="44.1328125" customWidth="1"/>
    <col min="4" max="4" width="27.59765625" customWidth="1"/>
    <col min="5" max="6" width="16.3984375" customWidth="1"/>
    <col min="7" max="8" width="15.59765625" customWidth="1"/>
    <col min="9" max="9" width="10.86328125" customWidth="1"/>
  </cols>
  <sheetData>
    <row r="2" spans="2:9" ht="21" customHeight="1">
      <c r="B2" s="222" t="s">
        <v>494</v>
      </c>
    </row>
    <row r="4" spans="2:9" ht="17.25" customHeight="1">
      <c r="B4" s="223" t="s">
        <v>495</v>
      </c>
      <c r="C4" s="224">
        <f>'1-基础参数'!C40</f>
        <v>1</v>
      </c>
      <c r="D4" s="225" t="s">
        <v>496</v>
      </c>
    </row>
    <row r="5" spans="2:9">
      <c r="B5" s="226" t="s">
        <v>497</v>
      </c>
    </row>
    <row r="7" spans="2:9" ht="27.75" customHeight="1">
      <c r="B7" s="227" t="s">
        <v>498</v>
      </c>
      <c r="C7" s="227" t="s">
        <v>499</v>
      </c>
      <c r="D7" s="227" t="s">
        <v>500</v>
      </c>
      <c r="E7" s="227" t="s">
        <v>501</v>
      </c>
      <c r="F7" s="227" t="s">
        <v>502</v>
      </c>
      <c r="G7" s="227" t="s">
        <v>503</v>
      </c>
      <c r="H7" s="227" t="s">
        <v>504</v>
      </c>
      <c r="I7" s="227" t="s">
        <v>505</v>
      </c>
    </row>
    <row r="8" spans="2:9" ht="18" customHeight="1">
      <c r="B8" s="228" t="s">
        <v>506</v>
      </c>
      <c r="C8" s="229"/>
      <c r="D8" s="229"/>
      <c r="E8" s="229"/>
      <c r="F8" s="229"/>
      <c r="G8" s="229"/>
      <c r="H8" s="229"/>
      <c r="I8" s="229"/>
    </row>
    <row r="9" spans="2:9" ht="18" customHeight="1">
      <c r="B9" s="230" t="s">
        <v>507</v>
      </c>
      <c r="C9" s="230" t="s">
        <v>508</v>
      </c>
      <c r="D9" s="231">
        <f>'1-基础参数'!C6*'1-基础参数'!C9*'1-基础参数'!C12*'1-基础参数'!C40</f>
        <v>75264</v>
      </c>
      <c r="E9" s="231">
        <f>'1-基础参数'!C6*'1-基础参数'!C9*'1-基础参数'!C12*'1-基础参数'!C40</f>
        <v>75264</v>
      </c>
      <c r="F9" s="231">
        <f>E9-D9</f>
        <v>0</v>
      </c>
      <c r="G9" s="232">
        <f>IF(D9=0,"-",1)</f>
        <v>1</v>
      </c>
      <c r="H9" s="232">
        <f>IF(E9=0,"-",1)</f>
        <v>1</v>
      </c>
      <c r="I9" s="230" t="s">
        <v>509</v>
      </c>
    </row>
    <row r="10" spans="2:9" ht="18" customHeight="1">
      <c r="B10" s="233" t="s">
        <v>510</v>
      </c>
      <c r="C10" s="233" t="s">
        <v>511</v>
      </c>
      <c r="D10" s="233"/>
      <c r="E10" s="233"/>
      <c r="F10" s="233"/>
      <c r="G10" s="233"/>
      <c r="H10" s="233"/>
      <c r="I10" s="233"/>
    </row>
    <row r="11" spans="2:9" ht="18" customHeight="1">
      <c r="B11" s="234" t="s">
        <v>512</v>
      </c>
      <c r="C11" s="235"/>
      <c r="D11" s="235"/>
      <c r="E11" s="235"/>
      <c r="F11" s="235"/>
      <c r="G11" s="235"/>
      <c r="H11" s="235"/>
      <c r="I11" s="235"/>
    </row>
    <row r="12" spans="2:9" ht="18" customHeight="1">
      <c r="B12" s="7" t="s">
        <v>513</v>
      </c>
      <c r="C12" s="7" t="s">
        <v>514</v>
      </c>
      <c r="D12" s="236">
        <f>D9*'1-基础参数'!C25*'1-基础参数'!C22</f>
        <v>340.23452054794524</v>
      </c>
      <c r="E12" s="236">
        <f>E9*'1-基础参数'!C25*'1-基础参数'!C22</f>
        <v>340.23452054794524</v>
      </c>
      <c r="F12" s="236">
        <f t="shared" ref="F12:F18" si="0">E12-D12</f>
        <v>0</v>
      </c>
      <c r="G12" s="237">
        <f>IF(D9=0,0,D12/D$9)</f>
        <v>4.5205479452054796E-3</v>
      </c>
      <c r="H12" s="237">
        <f>IF(E9=0,0,E12/E$9)</f>
        <v>4.5205479452054796E-3</v>
      </c>
      <c r="I12" s="7" t="s">
        <v>515</v>
      </c>
    </row>
    <row r="13" spans="2:9" ht="18" customHeight="1">
      <c r="B13" s="7" t="s">
        <v>516</v>
      </c>
      <c r="C13" s="7" t="s">
        <v>517</v>
      </c>
      <c r="D13" s="236">
        <v>0</v>
      </c>
      <c r="E13" s="236">
        <f>'2-单车成本测算'!H10*'1-基础参数'!C40*'1-基础参数'!C25*'1-基础参数'!C23</f>
        <v>67.619863013698634</v>
      </c>
      <c r="F13" s="236">
        <f t="shared" si="0"/>
        <v>67.619863013698634</v>
      </c>
      <c r="G13" s="237">
        <f>IF(D9=0,0,D13/D$9)</f>
        <v>0</v>
      </c>
      <c r="H13" s="237">
        <f>IF(E9=0,0,E13/E$9)</f>
        <v>8.9843567992265404E-4</v>
      </c>
      <c r="I13" s="7" t="s">
        <v>515</v>
      </c>
    </row>
    <row r="14" spans="2:9" ht="18" customHeight="1">
      <c r="B14" s="7" t="s">
        <v>518</v>
      </c>
      <c r="C14" s="7" t="s">
        <v>519</v>
      </c>
      <c r="D14" s="236">
        <f>(D9-D12-D13-D15)*'1-基础参数'!C26</f>
        <v>374.61882739726025</v>
      </c>
      <c r="E14" s="236">
        <f>(E9-E12-E13-E15)*'1-基础参数'!C26</f>
        <v>299.4890614155251</v>
      </c>
      <c r="F14" s="236">
        <f t="shared" si="0"/>
        <v>-75.129765981735147</v>
      </c>
      <c r="G14" s="237">
        <f>IF(D9=0,0,D14/D$9)</f>
        <v>4.9773972602739722E-3</v>
      </c>
      <c r="H14" s="237">
        <f>IF(E9=0,0,E14/E$9)</f>
        <v>3.9791807692326356E-3</v>
      </c>
      <c r="I14" s="7" t="s">
        <v>520</v>
      </c>
    </row>
    <row r="15" spans="2:9" ht="18" customHeight="1">
      <c r="B15" s="7" t="s">
        <v>521</v>
      </c>
      <c r="C15" s="7" t="s">
        <v>522</v>
      </c>
      <c r="D15" s="236">
        <v>0</v>
      </c>
      <c r="E15" s="236">
        <f>'2-单车成本测算'!H10*'1-基础参数'!C40</f>
        <v>14958.333333333334</v>
      </c>
      <c r="F15" s="236">
        <f t="shared" si="0"/>
        <v>14958.333333333334</v>
      </c>
      <c r="G15" s="237">
        <f>IF(D9=0,0,D15/D$9)</f>
        <v>0</v>
      </c>
      <c r="H15" s="237">
        <f>IF(E9=0,0,E15/E$9)</f>
        <v>0.19874486252834467</v>
      </c>
      <c r="I15" s="7" t="s">
        <v>523</v>
      </c>
    </row>
    <row r="16" spans="2:9" ht="18" customHeight="1">
      <c r="B16" s="7" t="s">
        <v>524</v>
      </c>
      <c r="C16" s="7" t="s">
        <v>525</v>
      </c>
      <c r="D16" s="236">
        <f>D9-D12-D13-D14-D15</f>
        <v>74549.146652054784</v>
      </c>
      <c r="E16" s="236">
        <f>E9-E12-E13-E14-E15</f>
        <v>59598.32322168949</v>
      </c>
      <c r="F16" s="236">
        <f t="shared" si="0"/>
        <v>-14950.823430365293</v>
      </c>
      <c r="G16" s="237">
        <f>IF(D9=0,0,D16/D$9)</f>
        <v>0.99050205479452036</v>
      </c>
      <c r="H16" s="237">
        <f>IF(E9=0,0,E16/E$9)</f>
        <v>0.79185697307729441</v>
      </c>
      <c r="I16" s="7" t="s">
        <v>526</v>
      </c>
    </row>
    <row r="17" spans="2:9" ht="18" customHeight="1">
      <c r="B17" s="238" t="s">
        <v>527</v>
      </c>
      <c r="C17" s="238" t="s">
        <v>528</v>
      </c>
      <c r="D17" s="239">
        <f>D12+D13</f>
        <v>340.23452054794524</v>
      </c>
      <c r="E17" s="239">
        <f>E12+E13</f>
        <v>407.85438356164389</v>
      </c>
      <c r="F17" s="239">
        <f t="shared" si="0"/>
        <v>67.619863013698648</v>
      </c>
      <c r="G17" s="240">
        <f>IF(D9=0,0,D17/D$9)</f>
        <v>4.5205479452054796E-3</v>
      </c>
      <c r="H17" s="240">
        <f>IF(E9=0,0,E17/E$9)</f>
        <v>5.4189836251281338E-3</v>
      </c>
      <c r="I17" s="238" t="s">
        <v>529</v>
      </c>
    </row>
    <row r="18" spans="2:9" ht="18" customHeight="1">
      <c r="B18" s="241" t="s">
        <v>530</v>
      </c>
      <c r="C18" s="241" t="s">
        <v>531</v>
      </c>
      <c r="D18" s="242">
        <f>D12+D13+D14+D15+D16-D9</f>
        <v>0</v>
      </c>
      <c r="E18" s="242">
        <f>E12+E13+E14+E15+E16-E9</f>
        <v>0</v>
      </c>
      <c r="F18" s="243">
        <f t="shared" si="0"/>
        <v>0</v>
      </c>
      <c r="G18" s="244">
        <f>IF(D9=0,0,D18/D$9)</f>
        <v>0</v>
      </c>
      <c r="H18" s="244">
        <f>IF(E9=0,0,E18/E$9)</f>
        <v>0</v>
      </c>
      <c r="I18" s="245" t="s">
        <v>532</v>
      </c>
    </row>
    <row r="19" spans="2:9" ht="18" customHeight="1"/>
    <row r="20" spans="2:9" ht="18" customHeight="1">
      <c r="B20" s="246" t="s">
        <v>533</v>
      </c>
      <c r="C20" s="233" t="s">
        <v>534</v>
      </c>
      <c r="D20" s="233"/>
      <c r="E20" s="233"/>
      <c r="F20" s="233"/>
      <c r="G20" s="233"/>
      <c r="H20" s="233"/>
      <c r="I20" s="233"/>
    </row>
    <row r="21" spans="2:9" ht="18" customHeight="1">
      <c r="B21" s="234" t="s">
        <v>535</v>
      </c>
      <c r="C21" s="38"/>
      <c r="D21" s="38"/>
      <c r="E21" s="38"/>
      <c r="F21" s="38"/>
      <c r="G21" s="38"/>
      <c r="H21" s="38"/>
      <c r="I21" s="38"/>
    </row>
    <row r="22" spans="2:9" ht="18" customHeight="1">
      <c r="B22" s="7" t="s">
        <v>536</v>
      </c>
      <c r="C22" s="7" t="s">
        <v>537</v>
      </c>
      <c r="D22" s="236">
        <f>D16</f>
        <v>74549.146652054784</v>
      </c>
      <c r="E22" s="236">
        <f>E16</f>
        <v>59598.32322168949</v>
      </c>
      <c r="F22" s="236">
        <f>F16</f>
        <v>-14950.823430365293</v>
      </c>
      <c r="G22" s="237">
        <f>IF(D9=0,0,D22/D$9)</f>
        <v>0.99050205479452036</v>
      </c>
      <c r="H22" s="237">
        <f>IF(E9=0,0,E22/E$9)</f>
        <v>0.79185697307729441</v>
      </c>
      <c r="I22" s="7" t="s">
        <v>538</v>
      </c>
    </row>
    <row r="23" spans="2:9" ht="18" customHeight="1">
      <c r="B23" s="7" t="s">
        <v>539</v>
      </c>
      <c r="C23" s="7" t="s">
        <v>540</v>
      </c>
      <c r="D23" s="236">
        <f>'2-单车成本测算'!G21*'1-基础参数'!C40</f>
        <v>26936.000000000004</v>
      </c>
      <c r="E23" s="236">
        <f>'2-单车成本测算'!H21*'1-基础参数'!C40</f>
        <v>26936.000000000004</v>
      </c>
      <c r="F23" s="236">
        <f t="shared" ref="F23:F30" si="1">E23-D23</f>
        <v>0</v>
      </c>
      <c r="G23" s="237">
        <f>IF(D9=0,0,D23/D$9)</f>
        <v>0.35788690476190482</v>
      </c>
      <c r="H23" s="237">
        <f>IF(E9=0,0,E23/E$9)</f>
        <v>0.35788690476190482</v>
      </c>
      <c r="I23" s="7" t="s">
        <v>541</v>
      </c>
    </row>
    <row r="24" spans="2:9" ht="18" customHeight="1">
      <c r="B24" s="7" t="s">
        <v>542</v>
      </c>
      <c r="C24" s="7" t="s">
        <v>543</v>
      </c>
      <c r="D24" s="236">
        <f>'2-单车成本测算'!G28*'1-基础参数'!C40</f>
        <v>4368</v>
      </c>
      <c r="E24" s="236">
        <f>'2-单车成本测算'!H28*'1-基础参数'!C40</f>
        <v>4368</v>
      </c>
      <c r="F24" s="236">
        <f t="shared" si="1"/>
        <v>0</v>
      </c>
      <c r="G24" s="237">
        <f>IF(D9=0,0,D24/D$9)</f>
        <v>5.8035714285714288E-2</v>
      </c>
      <c r="H24" s="237">
        <f>IF(E9=0,0,E24/E$9)</f>
        <v>5.8035714285714288E-2</v>
      </c>
      <c r="I24" s="7" t="s">
        <v>544</v>
      </c>
    </row>
    <row r="25" spans="2:9" ht="18" customHeight="1">
      <c r="B25" s="7" t="s">
        <v>545</v>
      </c>
      <c r="C25" s="7" t="s">
        <v>546</v>
      </c>
      <c r="D25" s="236">
        <f>'2-单车成本测算'!G24*'1-基础参数'!C40</f>
        <v>20000</v>
      </c>
      <c r="E25" s="236">
        <f>'2-单车成本测算'!H24*'1-基础参数'!C40</f>
        <v>20000</v>
      </c>
      <c r="F25" s="236">
        <f t="shared" si="1"/>
        <v>0</v>
      </c>
      <c r="G25" s="237">
        <f>IF(D9=0,0,D25/D$9)</f>
        <v>0.26573129251700678</v>
      </c>
      <c r="H25" s="237">
        <f>IF(E9=0,0,E25/E$9)</f>
        <v>0.26573129251700678</v>
      </c>
      <c r="I25" s="7" t="s">
        <v>547</v>
      </c>
    </row>
    <row r="26" spans="2:9" ht="18" customHeight="1">
      <c r="B26" s="7" t="s">
        <v>548</v>
      </c>
      <c r="C26" s="7" t="s">
        <v>549</v>
      </c>
      <c r="D26" s="236">
        <f>'2-单车成本测算'!G32*'1-基础参数'!C40</f>
        <v>1000</v>
      </c>
      <c r="E26" s="236">
        <f>'2-单车成本测算'!H32*'1-基础参数'!C40</f>
        <v>1000</v>
      </c>
      <c r="F26" s="236">
        <f t="shared" si="1"/>
        <v>0</v>
      </c>
      <c r="G26" s="237">
        <f>IF(D9=0,0,D26/D$9)</f>
        <v>1.3286564625850339E-2</v>
      </c>
      <c r="H26" s="237">
        <f>IF(E9=0,0,E26/E$9)</f>
        <v>1.3286564625850339E-2</v>
      </c>
      <c r="I26" s="7" t="s">
        <v>466</v>
      </c>
    </row>
    <row r="27" spans="2:9" ht="18" customHeight="1">
      <c r="B27" s="247" t="s">
        <v>550</v>
      </c>
      <c r="C27" s="247" t="s">
        <v>551</v>
      </c>
      <c r="D27" s="248">
        <f>D22-D23-D24-D25-D26</f>
        <v>22245.146652054784</v>
      </c>
      <c r="E27" s="248">
        <f>E22-E23-E24-E25-E26</f>
        <v>7294.3232216894867</v>
      </c>
      <c r="F27" s="248">
        <f t="shared" si="1"/>
        <v>-14950.823430365297</v>
      </c>
      <c r="G27" s="249">
        <f>IF(D9=0,0,D27/D$9)</f>
        <v>0.2955615786040442</v>
      </c>
      <c r="H27" s="249">
        <f>IF(E9=0,0,E27/E$9)</f>
        <v>9.6916496886818221E-2</v>
      </c>
      <c r="I27" s="247" t="s">
        <v>552</v>
      </c>
    </row>
    <row r="28" spans="2:9" ht="18" customHeight="1">
      <c r="B28" s="7" t="s">
        <v>553</v>
      </c>
      <c r="C28" s="7" t="str">
        <f>"净可分账额×"&amp;TEXT('1-基础参数'!C33,"0%")&amp;"（引用基础参数）"</f>
        <v>净可分账额×55%（引用基础参数）</v>
      </c>
      <c r="D28" s="236">
        <f>D27*'1-基础参数'!C33</f>
        <v>12234.830658630131</v>
      </c>
      <c r="E28" s="236">
        <f>E27*'1-基础参数'!C33</f>
        <v>4011.8777719292179</v>
      </c>
      <c r="F28" s="236">
        <f t="shared" si="1"/>
        <v>-8222.952886700914</v>
      </c>
      <c r="G28" s="237">
        <f>IF(D9=0,0,D28/D$9)</f>
        <v>0.16255886823222432</v>
      </c>
      <c r="H28" s="237">
        <f>IF(E9=0,0,E28/E$9)</f>
        <v>5.3304073287750026E-2</v>
      </c>
      <c r="I28" s="7" t="s">
        <v>554</v>
      </c>
    </row>
    <row r="29" spans="2:9" ht="18" customHeight="1">
      <c r="B29" s="238" t="s">
        <v>555</v>
      </c>
      <c r="C29" s="238" t="str">
        <f>"净可分账额×(1-"&amp;TEXT('1-基础参数'!C33,"0%")&amp;")留存"</f>
        <v>净可分账额×(1-55%)留存</v>
      </c>
      <c r="D29" s="239">
        <f>D27*(1-'1-基础参数'!C33)</f>
        <v>10010.315993424652</v>
      </c>
      <c r="E29" s="239">
        <f>E27*(1-'1-基础参数'!C33)</f>
        <v>3282.4454497602687</v>
      </c>
      <c r="F29" s="239">
        <f t="shared" si="1"/>
        <v>-6727.8705436643831</v>
      </c>
      <c r="G29" s="240">
        <f>IF(D9=0,0,D29/D$9)</f>
        <v>0.1330027103718199</v>
      </c>
      <c r="H29" s="240">
        <f>IF(E9=0,0,E29/E$9)</f>
        <v>4.3612423599068195E-2</v>
      </c>
      <c r="I29" s="238" t="s">
        <v>529</v>
      </c>
    </row>
    <row r="30" spans="2:9" ht="18" customHeight="1">
      <c r="B30" s="250" t="s">
        <v>556</v>
      </c>
      <c r="C30" s="241" t="s">
        <v>531</v>
      </c>
      <c r="D30" s="251">
        <f>D23+D24+D25+D26+D28+D29-D22</f>
        <v>0</v>
      </c>
      <c r="E30" s="251">
        <f>E23+E24+E25+E26+E28+E29-E22</f>
        <v>0</v>
      </c>
      <c r="F30" s="251">
        <f t="shared" si="1"/>
        <v>0</v>
      </c>
      <c r="G30" s="252">
        <f>IF(D9=0,0,D30/D$9)</f>
        <v>0</v>
      </c>
      <c r="H30" s="252">
        <f>IF(E9=0,0,E30/E$9)</f>
        <v>0</v>
      </c>
      <c r="I30" s="250" t="s">
        <v>532</v>
      </c>
    </row>
    <row r="31" spans="2:9" ht="18" customHeight="1">
      <c r="B31" s="253"/>
      <c r="C31" s="253"/>
      <c r="D31" s="253"/>
      <c r="E31" s="253"/>
      <c r="F31" s="253"/>
      <c r="G31" s="253"/>
      <c r="H31" s="253"/>
      <c r="I31" s="253"/>
    </row>
    <row r="32" spans="2:9" ht="18" customHeight="1">
      <c r="B32" s="254" t="s">
        <v>557</v>
      </c>
      <c r="C32" s="253"/>
      <c r="D32" s="253"/>
      <c r="E32" s="253"/>
      <c r="F32" s="253"/>
      <c r="G32" s="253"/>
      <c r="H32" s="253"/>
      <c r="I32" s="253"/>
    </row>
    <row r="33" spans="2:9" ht="18" customHeight="1">
      <c r="B33" s="255" t="s">
        <v>558</v>
      </c>
      <c r="C33" s="256"/>
      <c r="D33" s="256"/>
      <c r="E33" s="256"/>
      <c r="F33" s="256"/>
      <c r="G33" s="256"/>
      <c r="H33" s="256"/>
      <c r="I33" s="256"/>
    </row>
    <row r="34" spans="2:9" ht="18" customHeight="1">
      <c r="B34" s="257" t="s">
        <v>559</v>
      </c>
      <c r="C34" s="7" t="s">
        <v>560</v>
      </c>
      <c r="D34" s="236">
        <f>D15</f>
        <v>0</v>
      </c>
      <c r="E34" s="236">
        <f>E15</f>
        <v>14958.333333333334</v>
      </c>
      <c r="F34" s="236">
        <f>E34-D34</f>
        <v>14958.333333333334</v>
      </c>
      <c r="G34" s="237">
        <f>IF(D9=0,0,D34/D$9)</f>
        <v>0</v>
      </c>
      <c r="H34" s="237">
        <f>IF(E9=0,0,E34/E$9)</f>
        <v>0.19874486252834467</v>
      </c>
      <c r="I34" s="7" t="s">
        <v>561</v>
      </c>
    </row>
    <row r="35" spans="2:9" ht="18" customHeight="1">
      <c r="B35" s="257" t="s">
        <v>562</v>
      </c>
      <c r="C35" s="7" t="s">
        <v>563</v>
      </c>
      <c r="D35" s="236">
        <f>IF(D34=0,0,D34-200*'1-基础参数'!C40)</f>
        <v>0</v>
      </c>
      <c r="E35" s="236">
        <f>IF(E34=0,0,E34-200*'1-基础参数'!C40)</f>
        <v>14758.333333333334</v>
      </c>
      <c r="F35" s="236">
        <f>E35-D35</f>
        <v>14758.333333333334</v>
      </c>
      <c r="G35" s="237">
        <f>IF(D9=0,0,D35/D$9)</f>
        <v>0</v>
      </c>
      <c r="H35" s="237">
        <f>IF(E9=0,0,E35/E$9)</f>
        <v>0.19608754960317462</v>
      </c>
      <c r="I35" s="7" t="s">
        <v>564</v>
      </c>
    </row>
    <row r="36" spans="2:9" ht="18" customHeight="1">
      <c r="B36" s="258" t="s">
        <v>565</v>
      </c>
      <c r="C36" s="238" t="s">
        <v>566</v>
      </c>
      <c r="D36" s="239">
        <f>IF(D34=0,0,200*'1-基础参数'!C40)</f>
        <v>0</v>
      </c>
      <c r="E36" s="239">
        <f>IF(E34=0,0,200*'1-基础参数'!C40)</f>
        <v>200</v>
      </c>
      <c r="F36" s="239">
        <f>E36-D36</f>
        <v>200</v>
      </c>
      <c r="G36" s="240">
        <f>IF(D9=0,0,D36/D$9)</f>
        <v>0</v>
      </c>
      <c r="H36" s="240">
        <f>IF(E9=0,0,E36/E$9)</f>
        <v>2.6573129251700679E-3</v>
      </c>
      <c r="I36" s="238" t="s">
        <v>529</v>
      </c>
    </row>
    <row r="37" spans="2:9" ht="18" customHeight="1">
      <c r="B37" s="259" t="s">
        <v>567</v>
      </c>
      <c r="C37" s="241" t="s">
        <v>531</v>
      </c>
      <c r="D37" s="251">
        <f>D35+D36-D34</f>
        <v>0</v>
      </c>
      <c r="E37" s="251">
        <f>E35+E36-E34</f>
        <v>0</v>
      </c>
      <c r="F37" s="251">
        <f>E37-D37</f>
        <v>0</v>
      </c>
      <c r="G37" s="252">
        <f>IF(D9=0,0,D37/D$9)</f>
        <v>0</v>
      </c>
      <c r="H37" s="252">
        <f>IF(E9=0,0,E37/E$9)</f>
        <v>0</v>
      </c>
      <c r="I37" s="250" t="s">
        <v>532</v>
      </c>
    </row>
    <row r="38" spans="2:9" ht="18" customHeight="1">
      <c r="B38" s="254"/>
      <c r="C38" s="253"/>
      <c r="D38" s="253"/>
      <c r="E38" s="253"/>
      <c r="F38" s="253"/>
      <c r="G38" s="253"/>
      <c r="H38" s="253"/>
      <c r="I38" s="253"/>
    </row>
    <row r="39" spans="2:9" ht="18" customHeight="1">
      <c r="B39" s="254" t="s">
        <v>568</v>
      </c>
      <c r="C39" s="253"/>
      <c r="D39" s="253"/>
      <c r="E39" s="253"/>
      <c r="F39" s="253"/>
      <c r="G39" s="253"/>
      <c r="H39" s="253"/>
      <c r="I39" s="253"/>
    </row>
    <row r="40" spans="2:9" ht="18" customHeight="1">
      <c r="B40" s="254"/>
      <c r="C40" s="253"/>
      <c r="D40" s="253"/>
      <c r="E40" s="253"/>
      <c r="F40" s="253"/>
      <c r="G40" s="253"/>
      <c r="H40" s="253"/>
      <c r="I40" s="253"/>
    </row>
    <row r="41" spans="2:9" ht="18" customHeight="1">
      <c r="B41" s="253"/>
      <c r="C41" s="253"/>
      <c r="D41" s="253"/>
      <c r="E41" s="253"/>
      <c r="F41" s="253"/>
      <c r="G41" s="253"/>
      <c r="H41" s="253"/>
      <c r="I41" s="253"/>
    </row>
    <row r="43" spans="2:9">
      <c r="B43" s="234" t="s">
        <v>569</v>
      </c>
      <c r="C43" s="38"/>
      <c r="D43" s="38"/>
      <c r="E43" s="38"/>
      <c r="F43" s="38"/>
      <c r="G43" s="38"/>
      <c r="H43" s="38"/>
      <c r="I43" s="38"/>
    </row>
    <row r="44" spans="2:9">
      <c r="B44" s="7" t="s">
        <v>570</v>
      </c>
      <c r="C44" s="7" t="s">
        <v>571</v>
      </c>
      <c r="D44" s="236">
        <f>D28</f>
        <v>12234.830658630131</v>
      </c>
      <c r="E44" s="236">
        <f>E28</f>
        <v>4011.8777719292179</v>
      </c>
      <c r="F44" s="236">
        <f>E44-D44</f>
        <v>-8222.952886700914</v>
      </c>
      <c r="G44" s="237">
        <f>IF(D9=0,0,D44/D$9)</f>
        <v>0.16255886823222432</v>
      </c>
      <c r="H44" s="237">
        <f>IF(E9=0,0,E44/E$9)</f>
        <v>5.3304073287750026E-2</v>
      </c>
      <c r="I44" s="7" t="s">
        <v>538</v>
      </c>
    </row>
    <row r="45" spans="2:9">
      <c r="B45" s="7" t="s">
        <v>572</v>
      </c>
      <c r="C45" s="7" t="s">
        <v>573</v>
      </c>
      <c r="D45" s="236">
        <f>'2-单车成本测算'!G33*'1-基础参数'!C40</f>
        <v>0</v>
      </c>
      <c r="E45" s="236">
        <f>'2-单车成本测算'!H33*'1-基础参数'!C40</f>
        <v>0</v>
      </c>
      <c r="F45" s="236">
        <f>E45-D45</f>
        <v>0</v>
      </c>
      <c r="G45" s="237">
        <f>IF(D9=0,0,D45/D$9)</f>
        <v>0</v>
      </c>
      <c r="H45" s="237">
        <f>IF(E9=0,0,E45/E$9)</f>
        <v>0</v>
      </c>
      <c r="I45" s="7" t="s">
        <v>574</v>
      </c>
    </row>
    <row r="46" spans="2:9">
      <c r="B46" s="238" t="s">
        <v>575</v>
      </c>
      <c r="C46" s="238" t="s">
        <v>576</v>
      </c>
      <c r="D46" s="239">
        <f>D44-D45</f>
        <v>12234.830658630131</v>
      </c>
      <c r="E46" s="239">
        <f>E44-E45</f>
        <v>4011.8777719292179</v>
      </c>
      <c r="F46" s="239">
        <f>E46-D46</f>
        <v>-8222.952886700914</v>
      </c>
      <c r="G46" s="240">
        <f>IF(D9=0,0,D46/D$9)</f>
        <v>0.16255886823222432</v>
      </c>
      <c r="H46" s="240">
        <f>IF(E9=0,0,E46/E$9)</f>
        <v>5.3304073287750026E-2</v>
      </c>
      <c r="I46" s="238" t="s">
        <v>577</v>
      </c>
    </row>
    <row r="47" spans="2:9">
      <c r="B47" s="250" t="s">
        <v>578</v>
      </c>
      <c r="C47" s="241" t="s">
        <v>531</v>
      </c>
      <c r="D47" s="251">
        <f>D45+D46-D44</f>
        <v>0</v>
      </c>
      <c r="E47" s="251">
        <f>E45+E46-E44</f>
        <v>0</v>
      </c>
      <c r="F47" s="251">
        <f>E47-D47</f>
        <v>0</v>
      </c>
      <c r="G47" s="252">
        <f>IF(D9=0,0,D47/D$9)</f>
        <v>0</v>
      </c>
      <c r="H47" s="252">
        <f>IF(E9=0,0,E47/E$9)</f>
        <v>0</v>
      </c>
      <c r="I47" s="250" t="s">
        <v>532</v>
      </c>
    </row>
    <row r="48" spans="2:9">
      <c r="B48" s="253"/>
      <c r="C48" s="253"/>
      <c r="D48" s="253"/>
      <c r="E48" s="253"/>
      <c r="F48" s="253"/>
      <c r="G48" s="253"/>
      <c r="H48" s="253"/>
      <c r="I48" s="253"/>
    </row>
    <row r="49" spans="2:9">
      <c r="B49" s="260" t="s">
        <v>579</v>
      </c>
      <c r="C49" s="253"/>
      <c r="D49" s="253"/>
      <c r="E49" s="253"/>
      <c r="F49" s="253"/>
      <c r="G49" s="253"/>
      <c r="H49" s="253"/>
      <c r="I49" s="253"/>
    </row>
    <row r="50" spans="2:9">
      <c r="B50" s="253"/>
      <c r="C50" s="253"/>
      <c r="D50" s="253"/>
      <c r="E50" s="253"/>
      <c r="F50" s="253"/>
      <c r="G50" s="253"/>
      <c r="H50" s="253"/>
      <c r="I50" s="253"/>
    </row>
    <row r="51" spans="2:9">
      <c r="B51" s="261" t="s">
        <v>580</v>
      </c>
      <c r="C51" s="256"/>
      <c r="D51" s="256"/>
      <c r="E51" s="256"/>
      <c r="F51" s="256"/>
      <c r="G51" s="256"/>
      <c r="H51" s="256"/>
      <c r="I51" s="256"/>
    </row>
    <row r="52" spans="2:9">
      <c r="B52" s="7" t="s">
        <v>581</v>
      </c>
      <c r="C52" s="262" t="s">
        <v>582</v>
      </c>
      <c r="D52" s="236">
        <f>D35</f>
        <v>0</v>
      </c>
      <c r="E52" s="236">
        <f>E35</f>
        <v>14758.333333333334</v>
      </c>
      <c r="F52" s="236">
        <f>E52-D52</f>
        <v>14758.333333333334</v>
      </c>
      <c r="G52" s="237">
        <f>IF(D9=0,0,D52/D$9)</f>
        <v>0</v>
      </c>
      <c r="H52" s="237">
        <f>IF(E9=0,0,E52/E$9)</f>
        <v>0.19608754960317462</v>
      </c>
      <c r="I52" s="7" t="s">
        <v>561</v>
      </c>
    </row>
    <row r="53" spans="2:9">
      <c r="B53" s="7" t="s">
        <v>583</v>
      </c>
      <c r="C53" s="7" t="s">
        <v>584</v>
      </c>
      <c r="D53" s="236"/>
      <c r="E53" s="236">
        <f>'2-单车成本测算'!G9*1.15*'1-基础参数'!C40</f>
        <v>11752.890155815716</v>
      </c>
      <c r="F53" s="236">
        <f>E53-D53</f>
        <v>11752.890155815716</v>
      </c>
      <c r="G53" s="237">
        <f>IF(D9=0,0,D53/D$9)</f>
        <v>0</v>
      </c>
      <c r="H53" s="237">
        <f>IF(E9=0,0,E53/E$9)</f>
        <v>0.15615553459576578</v>
      </c>
      <c r="I53" s="7" t="s">
        <v>564</v>
      </c>
    </row>
    <row r="54" spans="2:9">
      <c r="B54" s="7" t="s">
        <v>585</v>
      </c>
      <c r="C54" s="7" t="s">
        <v>586</v>
      </c>
      <c r="D54" s="236"/>
      <c r="E54" s="236">
        <f>'2-单车成本测算'!G14*'1-基础参数'!C40</f>
        <v>2208.333333333333</v>
      </c>
      <c r="F54" s="236">
        <f>E54-D54</f>
        <v>2208.333333333333</v>
      </c>
      <c r="G54" s="237">
        <f>IF(D9=0,0,D54/D$9)</f>
        <v>0</v>
      </c>
      <c r="H54" s="237">
        <f>IF(E9=0,0,E54/E$9)</f>
        <v>2.9341163548752831E-2</v>
      </c>
      <c r="I54" s="7" t="s">
        <v>587</v>
      </c>
    </row>
    <row r="55" spans="2:9">
      <c r="B55" s="238" t="s">
        <v>588</v>
      </c>
      <c r="C55" s="238" t="s">
        <v>589</v>
      </c>
      <c r="D55" s="239">
        <f>D52-D53-D54</f>
        <v>0</v>
      </c>
      <c r="E55" s="239">
        <f>E52-E53-E54</f>
        <v>797.10984418428507</v>
      </c>
      <c r="F55" s="239">
        <f>E55-D55</f>
        <v>797.10984418428507</v>
      </c>
      <c r="G55" s="240">
        <f>IF(D9=0,0,D55/D$9)</f>
        <v>0</v>
      </c>
      <c r="H55" s="240">
        <f>IF(E9=0,0,E55/E$9)</f>
        <v>1.0590851458655999E-2</v>
      </c>
      <c r="I55" s="238" t="s">
        <v>529</v>
      </c>
    </row>
    <row r="56" spans="2:9">
      <c r="B56" s="250" t="s">
        <v>590</v>
      </c>
      <c r="C56" s="241" t="s">
        <v>531</v>
      </c>
      <c r="D56" s="251">
        <f>D53+D54+D55-D52</f>
        <v>0</v>
      </c>
      <c r="E56" s="251">
        <f>E53+E54+E55-E52</f>
        <v>0</v>
      </c>
      <c r="F56" s="251">
        <f>E56-D56</f>
        <v>0</v>
      </c>
      <c r="G56" s="252">
        <f>IF(D9=0,0,D56/D$9)</f>
        <v>0</v>
      </c>
      <c r="H56" s="252">
        <f>IF(E9=0,0,E56/E$9)</f>
        <v>0</v>
      </c>
      <c r="I56" s="250" t="s">
        <v>532</v>
      </c>
    </row>
    <row r="57" spans="2:9">
      <c r="B57" s="253"/>
      <c r="C57" s="253"/>
      <c r="D57" s="253"/>
      <c r="E57" s="253"/>
      <c r="F57" s="253"/>
      <c r="G57" s="253"/>
      <c r="H57" s="253"/>
      <c r="I57" s="253"/>
    </row>
    <row r="58" spans="2:9">
      <c r="B58" s="260" t="s">
        <v>591</v>
      </c>
      <c r="C58" s="253"/>
      <c r="D58" s="253"/>
      <c r="E58" s="253"/>
      <c r="F58" s="253"/>
      <c r="G58" s="253"/>
      <c r="H58" s="253"/>
      <c r="I58" s="253"/>
    </row>
    <row r="59" spans="2:9">
      <c r="B59" s="253"/>
      <c r="C59" s="253"/>
      <c r="D59" s="253"/>
      <c r="E59" s="253"/>
      <c r="F59" s="253"/>
      <c r="G59" s="253"/>
      <c r="H59" s="253"/>
      <c r="I59" s="253"/>
    </row>
    <row r="60" spans="2:9">
      <c r="B60" s="253"/>
      <c r="C60" s="253"/>
      <c r="D60" s="253"/>
      <c r="E60" s="253"/>
      <c r="F60" s="253"/>
      <c r="G60" s="253"/>
      <c r="H60" s="253"/>
      <c r="I60" s="253"/>
    </row>
    <row r="61" spans="2:9">
      <c r="B61" s="234" t="s">
        <v>592</v>
      </c>
      <c r="C61" s="263"/>
      <c r="D61" s="263"/>
      <c r="E61" s="263"/>
      <c r="F61" s="263"/>
      <c r="G61" s="263"/>
      <c r="H61" s="263"/>
      <c r="I61" s="263"/>
    </row>
    <row r="62" spans="2:9">
      <c r="B62" s="261" t="s">
        <v>593</v>
      </c>
      <c r="C62" s="256"/>
      <c r="D62" s="256"/>
      <c r="E62" s="256"/>
      <c r="F62" s="256"/>
      <c r="G62" s="256"/>
      <c r="H62" s="256"/>
      <c r="I62" s="256"/>
    </row>
    <row r="63" spans="2:9">
      <c r="B63" s="7" t="s">
        <v>594</v>
      </c>
      <c r="C63" s="7" t="s">
        <v>595</v>
      </c>
      <c r="D63" s="236">
        <f>D23</f>
        <v>26936.000000000004</v>
      </c>
      <c r="E63" s="236">
        <f>E23</f>
        <v>26936.000000000004</v>
      </c>
      <c r="F63" s="236">
        <f>E63-D63</f>
        <v>0</v>
      </c>
      <c r="G63" s="237">
        <f>IF(D9=0,0,D63/D$9)</f>
        <v>0.35788690476190482</v>
      </c>
      <c r="H63" s="237">
        <f>IF(E9=0,0,E63/E$9)</f>
        <v>0.35788690476190482</v>
      </c>
      <c r="I63" s="7" t="s">
        <v>596</v>
      </c>
    </row>
    <row r="64" spans="2:9">
      <c r="B64" s="7" t="s">
        <v>597</v>
      </c>
      <c r="C64" s="7" t="s">
        <v>598</v>
      </c>
      <c r="D64" s="236">
        <f>D63*('2-单车成本测算'!E15-'1-基础参数'!C27)/'2-单车成本测算'!E15</f>
        <v>18605.278350515462</v>
      </c>
      <c r="E64" s="236">
        <f>E63*('2-单车成本测算'!E15-'1-基础参数'!C27)/'2-单车成本测算'!E15</f>
        <v>18605.278350515462</v>
      </c>
      <c r="F64" s="236">
        <f>E64-D64</f>
        <v>0</v>
      </c>
      <c r="G64" s="237">
        <f>IF(D9=0,0,D64/D$9)</f>
        <v>0.24720023318605791</v>
      </c>
      <c r="H64" s="237">
        <f>IF(E9=0,0,E64/E$9)</f>
        <v>0.24720023318605791</v>
      </c>
      <c r="I64" s="7" t="s">
        <v>599</v>
      </c>
    </row>
    <row r="65" spans="2:9">
      <c r="B65" s="7" t="s">
        <v>600</v>
      </c>
      <c r="C65" s="7" t="s">
        <v>601</v>
      </c>
      <c r="D65" s="236">
        <f>D63*'1-基础参数'!C27/'2-单车成本测算'!E15*'1-基础参数'!C28</f>
        <v>833.07216494845386</v>
      </c>
      <c r="E65" s="236">
        <f>E63*'1-基础参数'!C27/'2-单车成本测算'!E15*'1-基础参数'!C28</f>
        <v>833.07216494845386</v>
      </c>
      <c r="F65" s="236">
        <f>E65-D65</f>
        <v>0</v>
      </c>
      <c r="G65" s="237">
        <f>IF(D9=0,0,D65/D$9)</f>
        <v>1.1068667157584687E-2</v>
      </c>
      <c r="H65" s="237">
        <f>IF(E9=0,0,E65/E$9)</f>
        <v>1.1068667157584687E-2</v>
      </c>
      <c r="I65" s="7" t="s">
        <v>602</v>
      </c>
    </row>
    <row r="66" spans="2:9">
      <c r="B66" s="238" t="s">
        <v>603</v>
      </c>
      <c r="C66" s="238" t="s">
        <v>604</v>
      </c>
      <c r="D66" s="239">
        <f>D63*'1-基础参数'!C27/'2-单车成本测算'!E15*(1-'1-基础参数'!C28)</f>
        <v>7497.6494845360839</v>
      </c>
      <c r="E66" s="239">
        <f>E63*'1-基础参数'!C27/'2-单车成本测算'!E15*(1-'1-基础参数'!C28)</f>
        <v>7497.6494845360839</v>
      </c>
      <c r="F66" s="239">
        <f>E66-D66</f>
        <v>0</v>
      </c>
      <c r="G66" s="240">
        <f>IF(D9=0,0,D66/D$9)</f>
        <v>9.9618004418262171E-2</v>
      </c>
      <c r="H66" s="240">
        <f>IF(E9=0,0,E66/E$9)</f>
        <v>9.9618004418262171E-2</v>
      </c>
      <c r="I66" s="238" t="s">
        <v>529</v>
      </c>
    </row>
    <row r="67" spans="2:9">
      <c r="B67" s="264" t="s">
        <v>605</v>
      </c>
      <c r="C67" s="264" t="s">
        <v>606</v>
      </c>
      <c r="D67" s="251">
        <f>D64+D65+D66-D63</f>
        <v>0</v>
      </c>
      <c r="E67" s="251">
        <f>E64+E65+E66-E63</f>
        <v>0</v>
      </c>
      <c r="F67" s="251">
        <f>E67-D67</f>
        <v>0</v>
      </c>
      <c r="G67" s="252">
        <f>IF(D9=0,0,D67/D$9)</f>
        <v>0</v>
      </c>
      <c r="H67" s="252">
        <f>IF(E9=0,0,E67/E$9)</f>
        <v>0</v>
      </c>
      <c r="I67" s="264" t="s">
        <v>532</v>
      </c>
    </row>
    <row r="68" spans="2:9">
      <c r="B68" s="253"/>
      <c r="C68" s="253"/>
      <c r="D68" s="253"/>
      <c r="E68" s="253"/>
      <c r="F68" s="253"/>
      <c r="G68" s="253"/>
      <c r="H68" s="253"/>
      <c r="I68" s="253"/>
    </row>
    <row r="69" spans="2:9">
      <c r="B69" s="261" t="s">
        <v>607</v>
      </c>
      <c r="C69" s="256"/>
      <c r="D69" s="256"/>
      <c r="E69" s="256"/>
      <c r="F69" s="256"/>
      <c r="G69" s="256"/>
      <c r="H69" s="256"/>
      <c r="I69" s="256"/>
    </row>
    <row r="70" spans="2:9">
      <c r="B70" s="7" t="s">
        <v>608</v>
      </c>
      <c r="C70" s="7" t="s">
        <v>609</v>
      </c>
      <c r="D70" s="236">
        <f>D24</f>
        <v>4368</v>
      </c>
      <c r="E70" s="236">
        <f>E24</f>
        <v>4368</v>
      </c>
      <c r="F70" s="236">
        <f>E70-D70</f>
        <v>0</v>
      </c>
      <c r="G70" s="237">
        <f>IF(D9=0,0,D70/D$9)</f>
        <v>5.8035714285714288E-2</v>
      </c>
      <c r="H70" s="237">
        <f>IF(E9=0,0,E70/E$9)</f>
        <v>5.8035714285714288E-2</v>
      </c>
      <c r="I70" s="7" t="s">
        <v>610</v>
      </c>
    </row>
    <row r="71" spans="2:9">
      <c r="B71" s="7" t="s">
        <v>611</v>
      </c>
      <c r="C71" s="7" t="s">
        <v>612</v>
      </c>
      <c r="D71" s="236">
        <f>D70*(1-'1-基础参数'!C29)</f>
        <v>3931.2000000000003</v>
      </c>
      <c r="E71" s="236">
        <f>E70*(1-'1-基础参数'!C29)</f>
        <v>3931.2000000000003</v>
      </c>
      <c r="F71" s="236">
        <f>E71-D71</f>
        <v>0</v>
      </c>
      <c r="G71" s="237">
        <f>IF(D9=0,0,D71/D$9)</f>
        <v>5.2232142857142859E-2</v>
      </c>
      <c r="H71" s="237">
        <f>IF(E9=0,0,E71/E$9)</f>
        <v>5.2232142857142859E-2</v>
      </c>
      <c r="I71" s="7" t="s">
        <v>613</v>
      </c>
    </row>
    <row r="72" spans="2:9">
      <c r="B72" s="7" t="s">
        <v>614</v>
      </c>
      <c r="C72" s="7" t="s">
        <v>615</v>
      </c>
      <c r="D72" s="236">
        <f>D70*'1-基础参数'!C29</f>
        <v>436.8</v>
      </c>
      <c r="E72" s="236">
        <f>E70*'1-基础参数'!C29</f>
        <v>436.8</v>
      </c>
      <c r="F72" s="236">
        <f>E72-D72</f>
        <v>0</v>
      </c>
      <c r="G72" s="237">
        <f>IF(D9=0,0,D72/D$9)</f>
        <v>5.8035714285714288E-3</v>
      </c>
      <c r="H72" s="237">
        <f>IF(E9=0,0,E72/E$9)</f>
        <v>5.8035714285714288E-3</v>
      </c>
      <c r="I72" s="7" t="s">
        <v>602</v>
      </c>
    </row>
    <row r="73" spans="2:9">
      <c r="B73" s="238" t="s">
        <v>616</v>
      </c>
      <c r="C73" s="238" t="s">
        <v>617</v>
      </c>
      <c r="D73" s="239">
        <f>D70-D71-D72</f>
        <v>0</v>
      </c>
      <c r="E73" s="239">
        <f>E70-E71-E72</f>
        <v>0</v>
      </c>
      <c r="F73" s="239">
        <f>E73-D73</f>
        <v>0</v>
      </c>
      <c r="G73" s="240">
        <f>IF(D9=0,0,D73/D$9)</f>
        <v>0</v>
      </c>
      <c r="H73" s="240">
        <f>IF(E9=0,0,E73/E$9)</f>
        <v>0</v>
      </c>
      <c r="I73" s="238" t="s">
        <v>529</v>
      </c>
    </row>
    <row r="74" spans="2:9">
      <c r="B74" s="250" t="s">
        <v>618</v>
      </c>
      <c r="C74" s="241" t="s">
        <v>531</v>
      </c>
      <c r="D74" s="251">
        <f>D71+D72-D70</f>
        <v>0</v>
      </c>
      <c r="E74" s="251">
        <f>E71+E72-E70</f>
        <v>0</v>
      </c>
      <c r="F74" s="251">
        <f>E74-D74</f>
        <v>0</v>
      </c>
      <c r="G74" s="252">
        <f>IF(D9=0,0,D74/D$9)</f>
        <v>0</v>
      </c>
      <c r="H74" s="252">
        <f>IF(E9=0,0,E74/E$9)</f>
        <v>0</v>
      </c>
      <c r="I74" s="250" t="s">
        <v>532</v>
      </c>
    </row>
    <row r="75" spans="2:9">
      <c r="B75" s="260" t="s">
        <v>619</v>
      </c>
      <c r="C75" s="253"/>
      <c r="D75" s="253"/>
      <c r="E75" s="253"/>
      <c r="F75" s="253"/>
      <c r="G75" s="253"/>
      <c r="H75" s="253"/>
      <c r="I75" s="253"/>
    </row>
    <row r="77" spans="2:9">
      <c r="B77" s="261" t="s">
        <v>620</v>
      </c>
      <c r="C77" s="256"/>
      <c r="D77" s="256"/>
      <c r="E77" s="256"/>
      <c r="F77" s="256"/>
      <c r="G77" s="256"/>
      <c r="H77" s="256"/>
      <c r="I77" s="256"/>
    </row>
    <row r="78" spans="2:9">
      <c r="B78" s="7" t="s">
        <v>621</v>
      </c>
      <c r="C78" s="262" t="s">
        <v>622</v>
      </c>
      <c r="D78" s="236">
        <f>D54</f>
        <v>0</v>
      </c>
      <c r="E78" s="236">
        <f>E54</f>
        <v>2208.333333333333</v>
      </c>
      <c r="F78" s="236">
        <f>E78-D78</f>
        <v>2208.333333333333</v>
      </c>
      <c r="G78" s="237">
        <f>IF(D9=0,0,D78/D$9)</f>
        <v>0</v>
      </c>
      <c r="H78" s="237">
        <f>IF(E9=0,0,E78/E$9)</f>
        <v>2.9341163548752831E-2</v>
      </c>
      <c r="I78" s="7" t="s">
        <v>623</v>
      </c>
    </row>
    <row r="79" spans="2:9">
      <c r="B79" s="7" t="s">
        <v>624</v>
      </c>
      <c r="C79" s="7" t="s">
        <v>625</v>
      </c>
      <c r="D79" s="236">
        <f>D78*(1-'1-基础参数'!C30)</f>
        <v>0</v>
      </c>
      <c r="E79" s="236">
        <f>E78*(1-'1-基础参数'!C30)</f>
        <v>1877.083333333333</v>
      </c>
      <c r="F79" s="236">
        <f>E79-D79</f>
        <v>1877.083333333333</v>
      </c>
      <c r="G79" s="237">
        <f>IF(D9=0,0,D79/D$9)</f>
        <v>0</v>
      </c>
      <c r="H79" s="237">
        <f>IF(E9=0,0,E79/E$9)</f>
        <v>2.4939989016439904E-2</v>
      </c>
      <c r="I79" s="7" t="s">
        <v>626</v>
      </c>
    </row>
    <row r="80" spans="2:9">
      <c r="B80" s="7" t="s">
        <v>614</v>
      </c>
      <c r="C80" s="7" t="s">
        <v>627</v>
      </c>
      <c r="D80" s="236">
        <f>D78*'1-基础参数'!C30</f>
        <v>0</v>
      </c>
      <c r="E80" s="236">
        <f>E78*'1-基础参数'!C30</f>
        <v>331.24999999999994</v>
      </c>
      <c r="F80" s="236">
        <f>E80-D80</f>
        <v>331.24999999999994</v>
      </c>
      <c r="G80" s="237">
        <f>IF(D9=0,0,D80/D$9)</f>
        <v>0</v>
      </c>
      <c r="H80" s="237">
        <f>IF(E9=0,0,E80/E$9)</f>
        <v>4.4011745323129245E-3</v>
      </c>
      <c r="I80" s="7" t="s">
        <v>602</v>
      </c>
    </row>
    <row r="81" spans="2:9">
      <c r="B81" s="238" t="s">
        <v>628</v>
      </c>
      <c r="C81" s="238" t="s">
        <v>629</v>
      </c>
      <c r="D81" s="239">
        <f>D78-D79-D80</f>
        <v>0</v>
      </c>
      <c r="E81" s="239">
        <f>E78-E79-E80</f>
        <v>0</v>
      </c>
      <c r="F81" s="239">
        <f>E81-D81</f>
        <v>0</v>
      </c>
      <c r="G81" s="240">
        <f>IF(D9=0,0,D81/D$9)</f>
        <v>0</v>
      </c>
      <c r="H81" s="240">
        <f>IF(E9=0,0,E81/E$9)</f>
        <v>0</v>
      </c>
      <c r="I81" s="238" t="s">
        <v>529</v>
      </c>
    </row>
    <row r="82" spans="2:9">
      <c r="B82" s="250" t="s">
        <v>630</v>
      </c>
      <c r="C82" s="241" t="s">
        <v>531</v>
      </c>
      <c r="D82" s="251">
        <f>D79+D80-D78</f>
        <v>0</v>
      </c>
      <c r="E82" s="251">
        <f>E79+E80-E78</f>
        <v>0</v>
      </c>
      <c r="F82" s="251">
        <f>E82-D82</f>
        <v>0</v>
      </c>
      <c r="G82" s="252">
        <f>IF(D9=0,0,D82/D$9)</f>
        <v>0</v>
      </c>
      <c r="H82" s="252">
        <f>IF(E9=0,0,E82/E$9)</f>
        <v>0</v>
      </c>
      <c r="I82" s="250" t="s">
        <v>532</v>
      </c>
    </row>
    <row r="83" spans="2:9">
      <c r="B83" s="260" t="s">
        <v>631</v>
      </c>
      <c r="C83" s="253"/>
      <c r="D83" s="253"/>
      <c r="E83" s="253"/>
      <c r="F83" s="253"/>
      <c r="G83" s="253"/>
      <c r="H83" s="253"/>
      <c r="I83" s="253"/>
    </row>
    <row r="84" spans="2:9">
      <c r="B84" s="234" t="s">
        <v>632</v>
      </c>
      <c r="C84" s="263"/>
      <c r="D84" s="263"/>
      <c r="E84" s="263"/>
      <c r="F84" s="263"/>
      <c r="G84" s="263"/>
      <c r="H84" s="263"/>
      <c r="I84" s="263"/>
    </row>
    <row r="85" spans="2:9">
      <c r="B85" s="7" t="s">
        <v>633</v>
      </c>
      <c r="C85" s="7" t="s">
        <v>634</v>
      </c>
      <c r="D85" s="236">
        <f>D65</f>
        <v>833.07216494845386</v>
      </c>
      <c r="E85" s="236">
        <f>E65</f>
        <v>833.07216494845386</v>
      </c>
      <c r="F85" s="236">
        <f t="shared" ref="F85:F91" si="2">E85-D85</f>
        <v>0</v>
      </c>
      <c r="G85" s="237">
        <f>IF(D9=0,0,D85/D$9)</f>
        <v>1.1068667157584687E-2</v>
      </c>
      <c r="H85" s="237">
        <f>IF(E9=0,0,E85/E$9)</f>
        <v>1.1068667157584687E-2</v>
      </c>
      <c r="I85" s="7" t="s">
        <v>635</v>
      </c>
    </row>
    <row r="86" spans="2:9">
      <c r="B86" s="7" t="s">
        <v>636</v>
      </c>
      <c r="C86" s="7" t="s">
        <v>637</v>
      </c>
      <c r="D86" s="236">
        <f>D72</f>
        <v>436.8</v>
      </c>
      <c r="E86" s="236">
        <f>E72</f>
        <v>436.8</v>
      </c>
      <c r="F86" s="236">
        <f t="shared" si="2"/>
        <v>0</v>
      </c>
      <c r="G86" s="237">
        <f>IF(D9=0,0,D86/D$9)</f>
        <v>5.8035714285714288E-3</v>
      </c>
      <c r="H86" s="237">
        <f>IF(E9=0,0,E86/E$9)</f>
        <v>5.8035714285714288E-3</v>
      </c>
      <c r="I86" s="7" t="s">
        <v>638</v>
      </c>
    </row>
    <row r="87" spans="2:9">
      <c r="B87" s="7" t="s">
        <v>639</v>
      </c>
      <c r="C87" s="7" t="s">
        <v>640</v>
      </c>
      <c r="D87" s="236">
        <f>D80</f>
        <v>0</v>
      </c>
      <c r="E87" s="236">
        <f>E80</f>
        <v>331.24999999999994</v>
      </c>
      <c r="F87" s="236">
        <f t="shared" si="2"/>
        <v>331.24999999999994</v>
      </c>
      <c r="G87" s="237">
        <f>IF(D9=0,0,D87/D$9)</f>
        <v>0</v>
      </c>
      <c r="H87" s="237">
        <f>IF(E9=0,0,E87/E$9)</f>
        <v>4.4011745323129245E-3</v>
      </c>
      <c r="I87" s="7" t="s">
        <v>641</v>
      </c>
    </row>
    <row r="88" spans="2:9">
      <c r="B88" s="265" t="s">
        <v>642</v>
      </c>
      <c r="C88" s="265" t="s">
        <v>643</v>
      </c>
      <c r="D88" s="266">
        <f>D85+D86+D87</f>
        <v>1269.8721649484539</v>
      </c>
      <c r="E88" s="266">
        <f>E85+E86+E87</f>
        <v>1601.1221649484539</v>
      </c>
      <c r="F88" s="266">
        <f t="shared" si="2"/>
        <v>331.25</v>
      </c>
      <c r="G88" s="267">
        <f>IF(D9=0,0,D88/D$9)</f>
        <v>1.6872238586156118E-2</v>
      </c>
      <c r="H88" s="267">
        <f>IF(E9=0,0,E88/E$9)</f>
        <v>2.1273413118469042E-2</v>
      </c>
      <c r="I88" s="265" t="s">
        <v>644</v>
      </c>
    </row>
    <row r="89" spans="2:9">
      <c r="B89" s="7" t="s">
        <v>645</v>
      </c>
      <c r="C89" s="7" t="s">
        <v>646</v>
      </c>
      <c r="D89" s="236">
        <f>D88*'1-基础参数'!$C$34</f>
        <v>317.46804123711348</v>
      </c>
      <c r="E89" s="236">
        <f>E88*'1-基础参数'!$C$34</f>
        <v>400.28054123711348</v>
      </c>
      <c r="F89" s="236">
        <f t="shared" si="2"/>
        <v>82.8125</v>
      </c>
      <c r="G89" s="237">
        <f>IF(D9=0,0,D89/D$9)</f>
        <v>4.2180596465390295E-3</v>
      </c>
      <c r="H89" s="237">
        <f>IF(E9=0,0,E89/E$9)</f>
        <v>5.3183532796172604E-3</v>
      </c>
      <c r="I89" s="7" t="s">
        <v>647</v>
      </c>
    </row>
    <row r="90" spans="2:9">
      <c r="B90" s="238" t="s">
        <v>648</v>
      </c>
      <c r="C90" s="238" t="s">
        <v>649</v>
      </c>
      <c r="D90" s="239">
        <f>D88*(1-'1-基础参数'!$C$34)</f>
        <v>952.40412371134039</v>
      </c>
      <c r="E90" s="239">
        <f>E88*(1-'1-基础参数'!$C$34)</f>
        <v>1200.8416237113404</v>
      </c>
      <c r="F90" s="239">
        <f t="shared" si="2"/>
        <v>248.4375</v>
      </c>
      <c r="G90" s="240">
        <f>IF(D9=0,0,D90/D$9)</f>
        <v>1.2654178939617086E-2</v>
      </c>
      <c r="H90" s="240">
        <f>IF(E9=0,0,E90/E$9)</f>
        <v>1.595505983885178E-2</v>
      </c>
      <c r="I90" s="238" t="s">
        <v>529</v>
      </c>
    </row>
    <row r="91" spans="2:9">
      <c r="B91" s="268" t="s">
        <v>650</v>
      </c>
      <c r="C91" s="264" t="s">
        <v>606</v>
      </c>
      <c r="D91" s="251">
        <f>D89+D90-D88</f>
        <v>0</v>
      </c>
      <c r="E91" s="251">
        <f>E89+E90-E88</f>
        <v>0</v>
      </c>
      <c r="F91" s="251">
        <f t="shared" si="2"/>
        <v>0</v>
      </c>
      <c r="G91" s="252">
        <f>IF(D9=0,0,D91/D$9)</f>
        <v>0</v>
      </c>
      <c r="H91" s="252">
        <f>IF(E9=0,0,E91/E$9)</f>
        <v>0</v>
      </c>
      <c r="I91" s="268" t="s">
        <v>532</v>
      </c>
    </row>
    <row r="92" spans="2:9">
      <c r="B92" s="260" t="s">
        <v>651</v>
      </c>
      <c r="C92" s="253"/>
      <c r="D92" s="253"/>
      <c r="E92" s="253"/>
      <c r="F92" s="253"/>
      <c r="G92" s="253"/>
      <c r="H92" s="253"/>
      <c r="I92" s="253"/>
    </row>
  </sheetData>
  <phoneticPr fontId="4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6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37" sqref="K37"/>
    </sheetView>
  </sheetViews>
  <sheetFormatPr defaultColWidth="8.73046875" defaultRowHeight="14.25" customHeight="1"/>
  <cols>
    <col min="2" max="2" width="17.86328125" customWidth="1"/>
    <col min="3" max="3" width="28.3984375" customWidth="1"/>
    <col min="4" max="6" width="14.1328125" hidden="1" customWidth="1"/>
    <col min="7" max="9" width="14.1328125" customWidth="1"/>
    <col min="10" max="10" width="32" customWidth="1"/>
    <col min="11" max="11" width="39.265625" customWidth="1"/>
  </cols>
  <sheetData>
    <row r="1" spans="2:10" ht="20.25" customHeight="1">
      <c r="B1" s="269" t="s">
        <v>652</v>
      </c>
    </row>
    <row r="2" spans="2:10" ht="19.5" customHeight="1">
      <c r="B2" s="270" t="s">
        <v>653</v>
      </c>
    </row>
    <row r="3" spans="2:10" ht="15" customHeight="1"/>
    <row r="4" spans="2:10" ht="15" customHeight="1"/>
    <row r="5" spans="2:10" ht="30" customHeight="1">
      <c r="B5" s="227" t="s">
        <v>47</v>
      </c>
      <c r="C5" s="227" t="s">
        <v>654</v>
      </c>
      <c r="D5" s="271" t="s">
        <v>655</v>
      </c>
      <c r="E5" s="271" t="s">
        <v>656</v>
      </c>
      <c r="F5" s="271" t="s">
        <v>657</v>
      </c>
      <c r="G5" s="271" t="s">
        <v>658</v>
      </c>
      <c r="H5" s="271" t="s">
        <v>659</v>
      </c>
      <c r="I5" s="271" t="s">
        <v>660</v>
      </c>
      <c r="J5" s="271" t="s">
        <v>661</v>
      </c>
    </row>
    <row r="6" spans="2:10" ht="15" customHeight="1">
      <c r="D6" s="272"/>
      <c r="E6" s="272"/>
      <c r="F6" s="272"/>
      <c r="G6" s="272"/>
      <c r="H6" s="272"/>
      <c r="I6" s="272"/>
    </row>
    <row r="7" spans="2:10" ht="15" customHeight="1">
      <c r="D7" s="272"/>
      <c r="E7" s="272"/>
      <c r="F7" s="272"/>
      <c r="G7" s="272"/>
      <c r="H7" s="272"/>
      <c r="I7" s="272"/>
    </row>
    <row r="8" spans="2:10" ht="15" customHeight="1">
      <c r="B8" s="228" t="s">
        <v>662</v>
      </c>
      <c r="C8" s="273" t="s">
        <v>663</v>
      </c>
      <c r="D8" s="274">
        <f>'3.5-资金清分'!D9</f>
        <v>75264</v>
      </c>
      <c r="E8" s="274">
        <f>'3.5-资金清分'!D9</f>
        <v>75264</v>
      </c>
      <c r="F8" s="274">
        <v>0</v>
      </c>
      <c r="G8" s="274">
        <f>'3.5-资金清分'!E9</f>
        <v>75264</v>
      </c>
      <c r="H8" s="274">
        <f>'3.5-资金清分'!E9</f>
        <v>75264</v>
      </c>
      <c r="I8" s="274">
        <v>0</v>
      </c>
      <c r="J8" s="273" t="s">
        <v>664</v>
      </c>
    </row>
    <row r="9" spans="2:10" ht="15" customHeight="1">
      <c r="B9" s="234" t="s">
        <v>665</v>
      </c>
      <c r="C9" s="275" t="s">
        <v>509</v>
      </c>
      <c r="D9" s="276">
        <f>'3.5-资金清分'!D9</f>
        <v>75264</v>
      </c>
      <c r="E9" s="277"/>
      <c r="F9" s="277"/>
      <c r="G9" s="276">
        <f>'3.5-资金清分'!E9</f>
        <v>75264</v>
      </c>
      <c r="H9" s="277"/>
      <c r="I9" s="277"/>
      <c r="J9" s="278" t="s">
        <v>666</v>
      </c>
    </row>
    <row r="10" spans="2:10" ht="15" customHeight="1">
      <c r="C10" s="278" t="s">
        <v>667</v>
      </c>
      <c r="D10" s="277"/>
      <c r="E10" s="276">
        <f>'3.5-资金清分'!D12</f>
        <v>340.23452054794524</v>
      </c>
      <c r="F10" s="277"/>
      <c r="G10" s="277"/>
      <c r="H10" s="276">
        <f>'3.5-资金清分'!E12</f>
        <v>340.23452054794524</v>
      </c>
      <c r="I10" s="277"/>
      <c r="J10" s="278" t="s">
        <v>668</v>
      </c>
    </row>
    <row r="11" spans="2:10" ht="15" customHeight="1">
      <c r="C11" s="278" t="s">
        <v>669</v>
      </c>
      <c r="D11" s="277"/>
      <c r="E11" s="276">
        <v>0</v>
      </c>
      <c r="F11" s="277"/>
      <c r="G11" s="277"/>
      <c r="H11" s="276">
        <f>'3.5-资金清分'!E13</f>
        <v>67.619863013698634</v>
      </c>
      <c r="I11" s="277"/>
      <c r="J11" s="278" t="s">
        <v>670</v>
      </c>
    </row>
    <row r="12" spans="2:10" ht="15" customHeight="1">
      <c r="C12" s="278" t="s">
        <v>671</v>
      </c>
      <c r="D12" s="277"/>
      <c r="E12" s="276">
        <f>'3.5-资金清分'!D14</f>
        <v>374.61882739726025</v>
      </c>
      <c r="F12" s="277"/>
      <c r="G12" s="277"/>
      <c r="H12" s="276">
        <f>'3.5-资金清分'!E14</f>
        <v>299.4890614155251</v>
      </c>
      <c r="I12" s="277"/>
      <c r="J12" s="278" t="s">
        <v>672</v>
      </c>
    </row>
    <row r="13" spans="2:10" ht="15" customHeight="1">
      <c r="C13" s="278" t="s">
        <v>673</v>
      </c>
      <c r="D13" s="277"/>
      <c r="E13" s="276">
        <v>0</v>
      </c>
      <c r="F13" s="277"/>
      <c r="G13" s="277"/>
      <c r="H13" s="276">
        <f>'3.5-资金清分'!E15</f>
        <v>14958.333333333334</v>
      </c>
      <c r="I13" s="277"/>
      <c r="J13" s="278" t="s">
        <v>674</v>
      </c>
    </row>
    <row r="14" spans="2:10" ht="15" customHeight="1">
      <c r="C14" s="278" t="s">
        <v>675</v>
      </c>
      <c r="D14" s="277"/>
      <c r="E14" s="276">
        <f>'3.5-资金清分'!D16</f>
        <v>74549.146652054784</v>
      </c>
      <c r="F14" s="277"/>
      <c r="G14" s="277"/>
      <c r="H14" s="276">
        <f>'3.5-资金清分'!E16</f>
        <v>59598.32322168949</v>
      </c>
      <c r="I14" s="277"/>
      <c r="J14" s="278" t="s">
        <v>676</v>
      </c>
    </row>
    <row r="15" spans="2:10" ht="15" customHeight="1">
      <c r="B15" s="279"/>
      <c r="C15" s="280" t="s">
        <v>677</v>
      </c>
      <c r="D15" s="281">
        <f>'3.5-资金清分'!D9</f>
        <v>75264</v>
      </c>
      <c r="E15" s="281">
        <f>'3.5-资金清分'!D14+'3.5-资金清分'!D16</f>
        <v>74923.765479452049</v>
      </c>
      <c r="F15" s="281">
        <f>'3.5-资金清分'!D17</f>
        <v>340.23452054794524</v>
      </c>
      <c r="G15" s="281">
        <f>'3.5-资金清分'!E9</f>
        <v>75264</v>
      </c>
      <c r="H15" s="281">
        <f>'3.5-资金清分'!E14+'3.5-资金清分'!E15+'3.5-资金清分'!E16</f>
        <v>74856.145616438356</v>
      </c>
      <c r="I15" s="281">
        <f>'3.5-资金清分'!E17</f>
        <v>407.85438356164389</v>
      </c>
      <c r="J15" s="280" t="s">
        <v>678</v>
      </c>
    </row>
    <row r="16" spans="2:10" ht="15" customHeight="1">
      <c r="B16" s="234" t="s">
        <v>679</v>
      </c>
      <c r="C16" s="278" t="s">
        <v>680</v>
      </c>
      <c r="D16" s="276">
        <f>'3.5-资金清分'!D22</f>
        <v>74549.146652054784</v>
      </c>
      <c r="E16" s="277"/>
      <c r="F16" s="277"/>
      <c r="G16" s="276">
        <f>'3.5-资金清分'!E22</f>
        <v>59598.32322168949</v>
      </c>
      <c r="H16" s="277"/>
      <c r="I16" s="277"/>
      <c r="J16" s="278" t="s">
        <v>681</v>
      </c>
    </row>
    <row r="17" spans="2:10" ht="15" customHeight="1">
      <c r="C17" s="278" t="s">
        <v>682</v>
      </c>
      <c r="D17" s="277"/>
      <c r="E17" s="276">
        <f>'3.5-资金清分'!D23</f>
        <v>26936.000000000004</v>
      </c>
      <c r="F17" s="277"/>
      <c r="G17" s="277"/>
      <c r="H17" s="276">
        <f>'3.5-资金清分'!E23</f>
        <v>26936.000000000004</v>
      </c>
      <c r="I17" s="277"/>
      <c r="J17" s="278" t="s">
        <v>683</v>
      </c>
    </row>
    <row r="18" spans="2:10" ht="15" customHeight="1">
      <c r="C18" s="278" t="s">
        <v>684</v>
      </c>
      <c r="D18" s="277"/>
      <c r="E18" s="276">
        <f>'3.5-资金清分'!D24</f>
        <v>4368</v>
      </c>
      <c r="F18" s="277"/>
      <c r="G18" s="277"/>
      <c r="H18" s="276">
        <f>'3.5-资金清分'!E24</f>
        <v>4368</v>
      </c>
      <c r="I18" s="277"/>
      <c r="J18" s="278" t="s">
        <v>685</v>
      </c>
    </row>
    <row r="19" spans="2:10" ht="15" customHeight="1">
      <c r="C19" s="278" t="s">
        <v>686</v>
      </c>
      <c r="D19" s="277"/>
      <c r="E19" s="276">
        <f>'3.5-资金清分'!D25</f>
        <v>20000</v>
      </c>
      <c r="F19" s="277"/>
      <c r="G19" s="277"/>
      <c r="H19" s="276">
        <f>'3.5-资金清分'!E25</f>
        <v>20000</v>
      </c>
      <c r="I19" s="277"/>
      <c r="J19" s="7" t="s">
        <v>687</v>
      </c>
    </row>
    <row r="20" spans="2:10" ht="15" customHeight="1">
      <c r="C20" s="278" t="s">
        <v>688</v>
      </c>
      <c r="D20" s="277"/>
      <c r="E20" s="276">
        <f>'3.5-资金清分'!D26</f>
        <v>1000</v>
      </c>
      <c r="F20" s="277"/>
      <c r="G20" s="277"/>
      <c r="H20" s="276">
        <f>'3.5-资金清分'!E26</f>
        <v>1000</v>
      </c>
      <c r="I20" s="277"/>
      <c r="J20" s="278" t="s">
        <v>689</v>
      </c>
    </row>
    <row r="21" spans="2:10" ht="15" customHeight="1">
      <c r="C21" s="278" t="s">
        <v>690</v>
      </c>
      <c r="D21" s="277"/>
      <c r="E21" s="276">
        <f>'3.5-资金清分'!D28</f>
        <v>12234.830658630131</v>
      </c>
      <c r="F21" s="277"/>
      <c r="G21" s="277"/>
      <c r="H21" s="276">
        <f>'3.5-资金清分'!E28</f>
        <v>4011.8777719292179</v>
      </c>
      <c r="I21" s="277"/>
      <c r="J21" s="278" t="s">
        <v>691</v>
      </c>
    </row>
    <row r="22" spans="2:10" ht="15" customHeight="1">
      <c r="B22" s="279"/>
      <c r="C22" s="280" t="s">
        <v>677</v>
      </c>
      <c r="D22" s="281">
        <f>'3.5-资金清分'!D22</f>
        <v>74549.146652054784</v>
      </c>
      <c r="E22" s="281">
        <f>'3.5-资金清分'!D23+'3.5-资金清分'!D24+'3.5-资金清分'!D25+'3.5-资金清分'!D26+'3.5-资金清分'!D28</f>
        <v>64538.830658630133</v>
      </c>
      <c r="F22" s="281">
        <f>'3.5-资金清分'!D29</f>
        <v>10010.315993424652</v>
      </c>
      <c r="G22" s="281">
        <f>'3.5-资金清分'!E22</f>
        <v>59598.32322168949</v>
      </c>
      <c r="H22" s="281">
        <f>'3.5-资金清分'!E23+'3.5-资金清分'!E24+'3.5-资金清分'!E25+'3.5-资金清分'!E26+'3.5-资金清分'!E28</f>
        <v>56315.877771929219</v>
      </c>
      <c r="I22" s="281">
        <f>'3.5-资金清分'!E29</f>
        <v>3282.4454497602687</v>
      </c>
      <c r="J22" s="280" t="s">
        <v>692</v>
      </c>
    </row>
    <row r="23" spans="2:10" ht="15" customHeight="1">
      <c r="B23" s="234" t="s">
        <v>693</v>
      </c>
      <c r="C23" s="278" t="s">
        <v>694</v>
      </c>
      <c r="D23" s="276">
        <f>'3.5-资金清分'!D44</f>
        <v>12234.830658630131</v>
      </c>
      <c r="E23" s="277"/>
      <c r="F23" s="277"/>
      <c r="G23" s="276">
        <f>'3.5-资金清分'!E44</f>
        <v>4011.8777719292179</v>
      </c>
      <c r="H23" s="277"/>
      <c r="I23" s="277"/>
      <c r="J23" s="278" t="s">
        <v>695</v>
      </c>
    </row>
    <row r="24" spans="2:10" ht="15" customHeight="1">
      <c r="C24" s="278" t="s">
        <v>696</v>
      </c>
      <c r="D24" s="277"/>
      <c r="E24" s="276">
        <f>'3.5-资金清分'!D45</f>
        <v>0</v>
      </c>
      <c r="F24" s="277"/>
      <c r="G24" s="277"/>
      <c r="H24" s="276">
        <f>'3.5-资金清分'!E45</f>
        <v>0</v>
      </c>
      <c r="I24" s="277"/>
      <c r="J24" s="278" t="s">
        <v>697</v>
      </c>
    </row>
    <row r="25" spans="2:10" ht="15" customHeight="1">
      <c r="B25" s="279"/>
      <c r="C25" s="280" t="s">
        <v>677</v>
      </c>
      <c r="D25" s="281">
        <f>'3.5-资金清分'!D44</f>
        <v>12234.830658630131</v>
      </c>
      <c r="E25" s="281">
        <f>'3.5-资金清分'!D45</f>
        <v>0</v>
      </c>
      <c r="F25" s="281">
        <f>'3.5-资金清分'!D46</f>
        <v>12234.830658630131</v>
      </c>
      <c r="G25" s="281">
        <f>'3.5-资金清分'!E44</f>
        <v>4011.8777719292179</v>
      </c>
      <c r="H25" s="281">
        <f>'3.5-资金清分'!E45</f>
        <v>0</v>
      </c>
      <c r="I25" s="281">
        <f>'3.5-资金清分'!E46</f>
        <v>4011.8777719292179</v>
      </c>
      <c r="J25" s="280" t="s">
        <v>698</v>
      </c>
    </row>
    <row r="26" spans="2:10" ht="15" customHeight="1">
      <c r="B26" s="234" t="s">
        <v>699</v>
      </c>
      <c r="C26" s="278" t="s">
        <v>700</v>
      </c>
      <c r="D26" s="276">
        <v>0</v>
      </c>
      <c r="E26" s="277"/>
      <c r="F26" s="277"/>
      <c r="G26" s="276">
        <f>'3.5-资金清分'!E34</f>
        <v>14958.333333333334</v>
      </c>
      <c r="H26" s="277"/>
      <c r="I26" s="277"/>
      <c r="J26" s="278" t="s">
        <v>701</v>
      </c>
    </row>
    <row r="27" spans="2:10" ht="15" customHeight="1">
      <c r="C27" s="278" t="s">
        <v>702</v>
      </c>
      <c r="D27" s="276">
        <f>'3.5-资金清分'!D14</f>
        <v>374.61882739726025</v>
      </c>
      <c r="E27" s="277"/>
      <c r="F27" s="277"/>
      <c r="G27" s="276">
        <f>'3.5-资金清分'!E14</f>
        <v>299.4890614155251</v>
      </c>
      <c r="H27" s="277"/>
      <c r="I27" s="277"/>
      <c r="J27" s="278" t="s">
        <v>703</v>
      </c>
    </row>
    <row r="28" spans="2:10" ht="15" customHeight="1">
      <c r="C28" s="278" t="s">
        <v>704</v>
      </c>
      <c r="D28" s="276">
        <f>'3.5-资金清分'!D89</f>
        <v>317.46804123711348</v>
      </c>
      <c r="E28" s="277"/>
      <c r="F28" s="277"/>
      <c r="G28" s="276">
        <f>'3.5-资金清分'!E89</f>
        <v>400.28054123711348</v>
      </c>
      <c r="H28" s="277"/>
      <c r="I28" s="277"/>
      <c r="J28" s="278" t="s">
        <v>705</v>
      </c>
    </row>
    <row r="29" spans="2:10" ht="15" customHeight="1">
      <c r="C29" s="278" t="s">
        <v>706</v>
      </c>
      <c r="D29" s="276">
        <v>0</v>
      </c>
      <c r="E29" s="277"/>
      <c r="F29" s="277"/>
      <c r="G29" s="276">
        <f>'3.5-资金清分'!E35</f>
        <v>14758.333333333334</v>
      </c>
      <c r="H29" s="277"/>
      <c r="I29" s="277"/>
      <c r="J29" s="278" t="s">
        <v>707</v>
      </c>
    </row>
    <row r="30" spans="2:10" ht="15" customHeight="1">
      <c r="C30" s="280" t="s">
        <v>677</v>
      </c>
      <c r="D30" s="281">
        <f>'3.5-资金清分'!D14+'3.5-资金清分'!D89</f>
        <v>692.08686863437379</v>
      </c>
      <c r="E30" s="281">
        <v>0</v>
      </c>
      <c r="F30" s="281">
        <f>'3.5-资金清分'!D14+'3.5-资金清分'!D89</f>
        <v>692.08686863437379</v>
      </c>
      <c r="G30" s="281">
        <f>'3.5-资金清分'!E34+'3.5-资金清分'!E14+'3.5-资金清分'!E89</f>
        <v>15658.102935985971</v>
      </c>
      <c r="H30" s="281">
        <f>'3.5-资金清分'!E35</f>
        <v>14758.333333333334</v>
      </c>
      <c r="I30" s="281">
        <f>'3.5-资金清分'!E36+'3.5-资金清分'!E14+'3.5-资金清分'!E89</f>
        <v>899.76960265263858</v>
      </c>
      <c r="J30" s="278" t="s">
        <v>708</v>
      </c>
    </row>
    <row r="31" spans="2:10" ht="15" customHeight="1">
      <c r="B31" s="234" t="s">
        <v>709</v>
      </c>
      <c r="C31" s="278" t="s">
        <v>710</v>
      </c>
      <c r="D31" s="276">
        <v>0</v>
      </c>
      <c r="E31" s="277"/>
      <c r="F31" s="277"/>
      <c r="G31" s="276">
        <f>'3.5-资金清分'!E52</f>
        <v>14758.333333333334</v>
      </c>
      <c r="H31" s="277"/>
      <c r="I31" s="277"/>
      <c r="J31" s="278" t="s">
        <v>707</v>
      </c>
    </row>
    <row r="32" spans="2:10" ht="15" customHeight="1">
      <c r="C32" s="278" t="s">
        <v>711</v>
      </c>
      <c r="D32" s="276">
        <f>'3.5-资金清分'!D53</f>
        <v>0</v>
      </c>
      <c r="E32" s="277"/>
      <c r="F32" s="277"/>
      <c r="G32" s="276">
        <f>'3.5-资金清分'!E53</f>
        <v>11752.890155815716</v>
      </c>
      <c r="H32" s="277"/>
      <c r="I32" s="277"/>
      <c r="J32" s="278" t="s">
        <v>712</v>
      </c>
    </row>
    <row r="33" spans="2:10" ht="15" customHeight="1">
      <c r="C33" s="278" t="s">
        <v>713</v>
      </c>
      <c r="D33" s="276">
        <f>'3.5-资金清分'!D54</f>
        <v>0</v>
      </c>
      <c r="E33" s="277"/>
      <c r="F33" s="277"/>
      <c r="G33" s="276">
        <f>'3.5-资金清分'!E54</f>
        <v>2208.333333333333</v>
      </c>
      <c r="H33" s="277"/>
      <c r="I33" s="277"/>
      <c r="J33" s="278" t="s">
        <v>714</v>
      </c>
    </row>
    <row r="34" spans="2:10" ht="15" customHeight="1">
      <c r="C34" s="280" t="s">
        <v>677</v>
      </c>
      <c r="D34" s="281">
        <f>'3.5-资金清分'!D52</f>
        <v>0</v>
      </c>
      <c r="E34" s="281">
        <f>'3.5-资金清分'!D53+'3.5-资金清分'!D54</f>
        <v>0</v>
      </c>
      <c r="F34" s="281">
        <f>'3.5-资金清分'!D55</f>
        <v>0</v>
      </c>
      <c r="G34" s="281">
        <f>'3.5-资金清分'!E52</f>
        <v>14758.333333333334</v>
      </c>
      <c r="H34" s="281">
        <f>'3.5-资金清分'!E53+'3.5-资金清分'!E54</f>
        <v>13961.223489149048</v>
      </c>
      <c r="I34" s="281">
        <f>'3.5-资金清分'!E55</f>
        <v>797.10984418428507</v>
      </c>
      <c r="J34" s="278" t="s">
        <v>715</v>
      </c>
    </row>
    <row r="35" spans="2:10" ht="15" customHeight="1">
      <c r="B35" s="234" t="s">
        <v>716</v>
      </c>
      <c r="C35" s="278" t="s">
        <v>717</v>
      </c>
      <c r="D35" s="276">
        <f>'3.5-资金清分'!D53</f>
        <v>0</v>
      </c>
      <c r="E35" s="277"/>
      <c r="F35" s="277"/>
      <c r="G35" s="276">
        <f>'3.5-资金清分'!E53</f>
        <v>11752.890155815716</v>
      </c>
      <c r="H35" s="277"/>
      <c r="I35" s="277"/>
      <c r="J35" s="278" t="s">
        <v>718</v>
      </c>
    </row>
    <row r="36" spans="2:10" ht="15" customHeight="1">
      <c r="C36" s="278" t="s">
        <v>719</v>
      </c>
      <c r="D36" s="276">
        <f>'3.5-资金清分'!D53/1.15</f>
        <v>0</v>
      </c>
      <c r="E36" s="277"/>
      <c r="F36" s="277"/>
      <c r="G36" s="276">
        <f>'3.5-资金清分'!E53/1.15</f>
        <v>10219.904483318014</v>
      </c>
      <c r="H36" s="277"/>
      <c r="I36" s="277"/>
      <c r="J36" s="278" t="s">
        <v>720</v>
      </c>
    </row>
    <row r="37" spans="2:10" ht="15" customHeight="1">
      <c r="C37" s="280" t="s">
        <v>677</v>
      </c>
      <c r="D37" s="281">
        <f>'3.5-资金清分'!D53</f>
        <v>0</v>
      </c>
      <c r="E37" s="281">
        <f>'3.5-资金清分'!D53/1.15</f>
        <v>0</v>
      </c>
      <c r="F37" s="281">
        <f>'3.5-资金清分'!D53*0.15/1.15</f>
        <v>0</v>
      </c>
      <c r="G37" s="281">
        <f>'3.5-资金清分'!E53</f>
        <v>11752.890155815716</v>
      </c>
      <c r="H37" s="281">
        <f>'3.5-资金清分'!E53/1.15</f>
        <v>10219.904483318014</v>
      </c>
      <c r="I37" s="281">
        <f>'3.5-资金清分'!E53*0.15/1.15</f>
        <v>1532.9856724977021</v>
      </c>
      <c r="J37" s="278" t="s">
        <v>721</v>
      </c>
    </row>
    <row r="38" spans="2:10" ht="15" customHeight="1">
      <c r="B38" s="234" t="s">
        <v>722</v>
      </c>
      <c r="C38" s="278" t="s">
        <v>723</v>
      </c>
      <c r="D38" s="276">
        <f>'3.5-资金清分'!D63</f>
        <v>26936.000000000004</v>
      </c>
      <c r="E38" s="277"/>
      <c r="F38" s="277"/>
      <c r="G38" s="276">
        <f>'3.5-资金清分'!E63</f>
        <v>26936.000000000004</v>
      </c>
      <c r="H38" s="277"/>
      <c r="I38" s="277"/>
      <c r="J38" s="278" t="s">
        <v>724</v>
      </c>
    </row>
    <row r="39" spans="2:10" ht="15" customHeight="1">
      <c r="C39" s="278" t="s">
        <v>725</v>
      </c>
      <c r="D39" s="277"/>
      <c r="E39" s="276">
        <f>'3.5-资金清分'!D64</f>
        <v>18605.278350515462</v>
      </c>
      <c r="F39" s="277"/>
      <c r="G39" s="277"/>
      <c r="H39" s="276">
        <f>'3.5-资金清分'!E64</f>
        <v>18605.278350515462</v>
      </c>
      <c r="I39" s="277"/>
      <c r="J39" s="278" t="s">
        <v>726</v>
      </c>
    </row>
    <row r="40" spans="2:10" ht="15" customHeight="1">
      <c r="C40" s="278" t="s">
        <v>727</v>
      </c>
      <c r="D40" s="277"/>
      <c r="E40" s="276">
        <f>'3.5-资金清分'!D65</f>
        <v>833.07216494845386</v>
      </c>
      <c r="F40" s="277"/>
      <c r="G40" s="277"/>
      <c r="H40" s="276">
        <f>'3.5-资金清分'!E65</f>
        <v>833.07216494845386</v>
      </c>
      <c r="I40" s="277"/>
      <c r="J40" s="278" t="s">
        <v>728</v>
      </c>
    </row>
    <row r="41" spans="2:10" ht="15" customHeight="1">
      <c r="C41" s="280" t="s">
        <v>677</v>
      </c>
      <c r="D41" s="281">
        <f>'3.5-资金清分'!D63</f>
        <v>26936.000000000004</v>
      </c>
      <c r="E41" s="281">
        <f>'3.5-资金清分'!D64+'3.5-资金清分'!D65</f>
        <v>19438.350515463917</v>
      </c>
      <c r="F41" s="281">
        <f>'3.5-资金清分'!D66</f>
        <v>7497.6494845360839</v>
      </c>
      <c r="G41" s="281">
        <f>'3.5-资金清分'!E63</f>
        <v>26936.000000000004</v>
      </c>
      <c r="H41" s="281">
        <f>'3.5-资金清分'!E64+'3.5-资金清分'!E65</f>
        <v>19438.350515463917</v>
      </c>
      <c r="I41" s="281">
        <f>'3.5-资金清分'!E66</f>
        <v>7497.6494845360839</v>
      </c>
      <c r="J41" s="278" t="s">
        <v>729</v>
      </c>
    </row>
    <row r="42" spans="2:10" ht="15" customHeight="1">
      <c r="B42" s="234" t="s">
        <v>730</v>
      </c>
      <c r="C42" s="278" t="s">
        <v>731</v>
      </c>
      <c r="D42" s="276">
        <f>'3.5-资金清分'!D70</f>
        <v>4368</v>
      </c>
      <c r="E42" s="277"/>
      <c r="F42" s="277"/>
      <c r="G42" s="276">
        <f>'3.5-资金清分'!E70</f>
        <v>4368</v>
      </c>
      <c r="H42" s="277"/>
      <c r="I42" s="277"/>
      <c r="J42" s="278" t="s">
        <v>724</v>
      </c>
    </row>
    <row r="43" spans="2:10" ht="15" customHeight="1">
      <c r="C43" s="278" t="s">
        <v>732</v>
      </c>
      <c r="D43" s="277"/>
      <c r="E43" s="276">
        <f>'3.5-资金清分'!D71+'3.5-资金清分'!D72</f>
        <v>4368</v>
      </c>
      <c r="F43" s="277"/>
      <c r="G43" s="277"/>
      <c r="H43" s="276">
        <f>'3.5-资金清分'!E71+'3.5-资金清分'!E72</f>
        <v>4368</v>
      </c>
      <c r="I43" s="277"/>
      <c r="J43" s="278" t="s">
        <v>733</v>
      </c>
    </row>
    <row r="44" spans="2:10" ht="15" customHeight="1">
      <c r="C44" s="280" t="s">
        <v>677</v>
      </c>
      <c r="D44" s="281">
        <f>'3.5-资金清分'!D70</f>
        <v>4368</v>
      </c>
      <c r="E44" s="281">
        <f>'3.5-资金清分'!D71+'3.5-资金清分'!D72</f>
        <v>4368</v>
      </c>
      <c r="F44" s="281">
        <f>'3.5-资金清分'!D73</f>
        <v>0</v>
      </c>
      <c r="G44" s="281">
        <f>'3.5-资金清分'!E70</f>
        <v>4368</v>
      </c>
      <c r="H44" s="281">
        <f>'3.5-资金清分'!E71+'3.5-资金清分'!E72</f>
        <v>4368</v>
      </c>
      <c r="I44" s="281">
        <f>'3.5-资金清分'!E73</f>
        <v>0</v>
      </c>
      <c r="J44" s="278" t="s">
        <v>734</v>
      </c>
    </row>
    <row r="45" spans="2:10" ht="15" customHeight="1">
      <c r="B45" s="234" t="s">
        <v>735</v>
      </c>
      <c r="C45" s="278" t="s">
        <v>736</v>
      </c>
      <c r="D45" s="276">
        <f>'3.5-资金清分'!D78</f>
        <v>0</v>
      </c>
      <c r="E45" s="277"/>
      <c r="F45" s="277"/>
      <c r="G45" s="276">
        <f>'3.5-资金清分'!E78</f>
        <v>2208.333333333333</v>
      </c>
      <c r="H45" s="277"/>
      <c r="I45" s="277"/>
      <c r="J45" s="278" t="s">
        <v>718</v>
      </c>
    </row>
    <row r="46" spans="2:10" ht="15" customHeight="1">
      <c r="C46" s="278" t="s">
        <v>737</v>
      </c>
      <c r="D46" s="277"/>
      <c r="E46" s="276">
        <f>'3.5-资金清分'!D79+'3.5-资金清分'!D80</f>
        <v>0</v>
      </c>
      <c r="F46" s="277"/>
      <c r="G46" s="277"/>
      <c r="H46" s="276">
        <f>'3.5-资金清分'!E79+'3.5-资金清分'!E80</f>
        <v>2208.333333333333</v>
      </c>
      <c r="I46" s="277"/>
      <c r="J46" s="278" t="s">
        <v>733</v>
      </c>
    </row>
    <row r="47" spans="2:10" ht="15" customHeight="1">
      <c r="C47" s="280" t="s">
        <v>677</v>
      </c>
      <c r="D47" s="281">
        <f>'3.5-资金清分'!D78</f>
        <v>0</v>
      </c>
      <c r="E47" s="281">
        <f>'3.5-资金清分'!D79+'3.5-资金清分'!D80</f>
        <v>0</v>
      </c>
      <c r="F47" s="281">
        <f>'3.5-资金清分'!D81</f>
        <v>0</v>
      </c>
      <c r="G47" s="281">
        <f>'3.5-资金清分'!E78</f>
        <v>2208.333333333333</v>
      </c>
      <c r="H47" s="281">
        <f>'3.5-资金清分'!E79+'3.5-资金清分'!E80</f>
        <v>2208.333333333333</v>
      </c>
      <c r="I47" s="281">
        <f>'3.5-资金清分'!E81</f>
        <v>0</v>
      </c>
      <c r="J47" s="278" t="s">
        <v>738</v>
      </c>
    </row>
    <row r="48" spans="2:10" ht="15" customHeight="1">
      <c r="B48" s="234" t="s">
        <v>739</v>
      </c>
      <c r="C48" s="278" t="s">
        <v>740</v>
      </c>
      <c r="D48" s="276">
        <f>'3.5-资金清分'!D88</f>
        <v>1269.8721649484539</v>
      </c>
      <c r="E48" s="277"/>
      <c r="F48" s="277"/>
      <c r="G48" s="276">
        <f>'3.5-资金清分'!E88</f>
        <v>1601.1221649484539</v>
      </c>
      <c r="H48" s="277"/>
      <c r="I48" s="277"/>
      <c r="J48" s="278" t="s">
        <v>741</v>
      </c>
    </row>
    <row r="49" spans="2:11" ht="15" customHeight="1">
      <c r="C49" s="278" t="s">
        <v>742</v>
      </c>
      <c r="D49" s="277"/>
      <c r="E49" s="276">
        <f>'3.5-资金清分'!D89</f>
        <v>317.46804123711348</v>
      </c>
      <c r="F49" s="277"/>
      <c r="G49" s="277"/>
      <c r="H49" s="276">
        <f>'3.5-资金清分'!E89</f>
        <v>400.28054123711348</v>
      </c>
      <c r="I49" s="277"/>
      <c r="J49" s="278" t="s">
        <v>743</v>
      </c>
    </row>
    <row r="50" spans="2:11" ht="15" customHeight="1">
      <c r="C50" s="280" t="s">
        <v>677</v>
      </c>
      <c r="D50" s="281">
        <f>'3.5-资金清分'!D88</f>
        <v>1269.8721649484539</v>
      </c>
      <c r="E50" s="281">
        <f>'3.5-资金清分'!D89</f>
        <v>317.46804123711348</v>
      </c>
      <c r="F50" s="281">
        <f>'3.5-资金清分'!D90</f>
        <v>952.40412371134039</v>
      </c>
      <c r="G50" s="281">
        <f>'3.5-资金清分'!E88</f>
        <v>1601.1221649484539</v>
      </c>
      <c r="H50" s="281">
        <f>'3.5-资金清分'!E89</f>
        <v>400.28054123711348</v>
      </c>
      <c r="I50" s="281">
        <f>'3.5-资金清分'!E90</f>
        <v>1200.8416237113404</v>
      </c>
      <c r="J50" s="278" t="s">
        <v>744</v>
      </c>
    </row>
    <row r="51" spans="2:11" ht="15" customHeight="1"/>
    <row r="52" spans="2:11" ht="15" customHeight="1"/>
    <row r="53" spans="2:11" ht="15" customHeight="1"/>
    <row r="54" spans="2:11" ht="15" customHeight="1"/>
    <row r="55" spans="2:11" ht="15" customHeight="1"/>
    <row r="56" spans="2:11" ht="15" customHeight="1"/>
    <row r="57" spans="2:11" ht="15" customHeight="1"/>
    <row r="58" spans="2:11" ht="15" customHeight="1"/>
    <row r="59" spans="2:11" ht="15" customHeight="1"/>
    <row r="60" spans="2:11" ht="15" customHeight="1"/>
    <row r="63" spans="2:11" ht="14.25" customHeight="1">
      <c r="B63" s="66"/>
      <c r="C63" s="66"/>
      <c r="D63" s="194"/>
      <c r="E63" s="282"/>
      <c r="F63" s="194"/>
      <c r="G63" s="283"/>
      <c r="H63" s="283"/>
      <c r="I63" s="283"/>
      <c r="J63" s="194"/>
      <c r="K63" s="66"/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48"/>
  <sheetViews>
    <sheetView topLeftCell="A7" zoomScaleNormal="100" workbookViewId="0">
      <selection activeCell="F47" sqref="F47"/>
    </sheetView>
  </sheetViews>
  <sheetFormatPr defaultColWidth="8.73046875" defaultRowHeight="14.25" customHeight="1"/>
  <cols>
    <col min="2" max="2" width="11.59765625" customWidth="1"/>
    <col min="3" max="3" width="46.3984375" customWidth="1"/>
    <col min="4" max="5" width="26.1328125" customWidth="1"/>
    <col min="6" max="6" width="15.3984375" customWidth="1"/>
    <col min="7" max="7" width="14.1328125" customWidth="1"/>
    <col min="8" max="8" width="19.59765625" customWidth="1"/>
  </cols>
  <sheetData>
    <row r="2" spans="2:8" ht="19.5" customHeight="1">
      <c r="B2" s="284" t="s">
        <v>745</v>
      </c>
    </row>
    <row r="3" spans="2:8" ht="15" customHeight="1">
      <c r="B3" s="285" t="s">
        <v>746</v>
      </c>
    </row>
    <row r="5" spans="2:8" ht="15" customHeight="1">
      <c r="B5" s="375" t="s">
        <v>747</v>
      </c>
      <c r="C5" s="375"/>
      <c r="D5" s="375"/>
      <c r="E5" s="375"/>
      <c r="F5" s="375"/>
      <c r="G5" s="375"/>
      <c r="H5" s="375"/>
    </row>
    <row r="7" spans="2:8" ht="15" customHeight="1">
      <c r="B7" s="286" t="s">
        <v>748</v>
      </c>
      <c r="C7" s="286" t="s">
        <v>749</v>
      </c>
      <c r="D7" s="286" t="s">
        <v>750</v>
      </c>
      <c r="E7" s="286" t="s">
        <v>751</v>
      </c>
      <c r="F7" s="286" t="s">
        <v>505</v>
      </c>
      <c r="G7" s="287" t="s">
        <v>247</v>
      </c>
      <c r="H7" s="287"/>
    </row>
    <row r="8" spans="2:8" ht="15" customHeight="1">
      <c r="B8" s="288">
        <v>1</v>
      </c>
      <c r="C8" s="14" t="s">
        <v>752</v>
      </c>
      <c r="D8" s="34">
        <f>'3.5-资金清分'!D9</f>
        <v>75264</v>
      </c>
      <c r="E8" s="34">
        <f>'3.5-资金清分'!E9</f>
        <v>75264</v>
      </c>
      <c r="F8" s="14" t="s">
        <v>753</v>
      </c>
      <c r="G8" s="14" t="s">
        <v>754</v>
      </c>
    </row>
    <row r="9" spans="2:8" ht="15" customHeight="1">
      <c r="B9" s="288">
        <v>2</v>
      </c>
      <c r="C9" s="14" t="s">
        <v>755</v>
      </c>
      <c r="D9" s="34">
        <f>'3.5-资金清分'!D16</f>
        <v>74549.146652054784</v>
      </c>
      <c r="E9" s="34">
        <f>'3.5-资金清分'!E16</f>
        <v>59598.32322168949</v>
      </c>
      <c r="F9" s="14" t="s">
        <v>756</v>
      </c>
      <c r="G9" s="14" t="s">
        <v>757</v>
      </c>
    </row>
    <row r="10" spans="2:8" ht="15" customHeight="1">
      <c r="B10" s="288">
        <v>3</v>
      </c>
      <c r="C10" s="14" t="s">
        <v>758</v>
      </c>
      <c r="D10" s="34">
        <f>0</f>
        <v>0</v>
      </c>
      <c r="E10" s="34">
        <f>'3.5-资金清分'!E15</f>
        <v>14958.333333333334</v>
      </c>
      <c r="F10" s="14" t="s">
        <v>759</v>
      </c>
      <c r="G10" s="14" t="s">
        <v>760</v>
      </c>
    </row>
    <row r="11" spans="2:8" ht="15" customHeight="1">
      <c r="B11" s="288">
        <v>4</v>
      </c>
      <c r="C11" s="14" t="s">
        <v>761</v>
      </c>
      <c r="D11" s="34">
        <f>'3.5-资金清分'!D14</f>
        <v>374.61882739726025</v>
      </c>
      <c r="E11" s="34">
        <f>'3.5-资金清分'!E14</f>
        <v>299.4890614155251</v>
      </c>
      <c r="F11" s="14" t="s">
        <v>762</v>
      </c>
      <c r="G11" s="14" t="s">
        <v>763</v>
      </c>
    </row>
    <row r="12" spans="2:8" ht="15" customHeight="1">
      <c r="B12" s="288">
        <v>5</v>
      </c>
      <c r="C12" s="14" t="s">
        <v>764</v>
      </c>
      <c r="D12" s="34">
        <f>'3.5-资金清分'!D28</f>
        <v>12234.830658630131</v>
      </c>
      <c r="E12" s="34">
        <f>'3.5-资金清分'!E28</f>
        <v>4011.8777719292179</v>
      </c>
      <c r="F12" s="14" t="s">
        <v>765</v>
      </c>
      <c r="G12" s="14" t="s">
        <v>766</v>
      </c>
    </row>
    <row r="13" spans="2:8" ht="15" customHeight="1">
      <c r="B13" s="288">
        <v>6</v>
      </c>
      <c r="C13" s="14" t="s">
        <v>767</v>
      </c>
      <c r="D13" s="34">
        <f>'3.5-资金清分'!D23</f>
        <v>26936.000000000004</v>
      </c>
      <c r="E13" s="34">
        <f>'3.5-资金清分'!E23</f>
        <v>26936.000000000004</v>
      </c>
      <c r="F13" s="14" t="s">
        <v>768</v>
      </c>
      <c r="G13" s="14" t="s">
        <v>464</v>
      </c>
    </row>
    <row r="14" spans="2:8" ht="15" customHeight="1">
      <c r="B14" s="288">
        <v>7</v>
      </c>
      <c r="C14" s="14" t="s">
        <v>769</v>
      </c>
      <c r="D14" s="34">
        <f>'3.5-资金清分'!D24</f>
        <v>4368</v>
      </c>
      <c r="E14" s="34">
        <f>'3.5-资金清分'!E24</f>
        <v>4368</v>
      </c>
      <c r="F14" s="14" t="s">
        <v>770</v>
      </c>
      <c r="G14" s="14" t="s">
        <v>771</v>
      </c>
    </row>
    <row r="15" spans="2:8" ht="15" customHeight="1">
      <c r="B15" s="288">
        <v>8</v>
      </c>
      <c r="C15" s="14" t="s">
        <v>772</v>
      </c>
      <c r="D15" s="34">
        <f>'3.5-资金清分'!D25</f>
        <v>20000</v>
      </c>
      <c r="E15" s="34">
        <f>'3.5-资金清分'!E25</f>
        <v>20000</v>
      </c>
      <c r="F15" s="14" t="s">
        <v>773</v>
      </c>
      <c r="G15" s="14" t="s">
        <v>774</v>
      </c>
    </row>
    <row r="16" spans="2:8" ht="15" customHeight="1">
      <c r="B16" s="288">
        <v>9</v>
      </c>
      <c r="C16" s="14" t="s">
        <v>775</v>
      </c>
      <c r="D16" s="34">
        <f>'3.5-资金清分'!D26</f>
        <v>1000</v>
      </c>
      <c r="E16" s="34">
        <f>'3.5-资金清分'!E26</f>
        <v>1000</v>
      </c>
      <c r="F16" s="14" t="s">
        <v>776</v>
      </c>
      <c r="G16" s="14" t="s">
        <v>777</v>
      </c>
    </row>
    <row r="17" spans="2:8" ht="15" customHeight="1">
      <c r="B17" s="288">
        <v>10</v>
      </c>
      <c r="C17" s="14" t="s">
        <v>778</v>
      </c>
      <c r="D17" s="34">
        <f>0</f>
        <v>0</v>
      </c>
      <c r="E17" s="34">
        <f>'3.5-资金清分'!E35</f>
        <v>14758.333333333334</v>
      </c>
      <c r="F17" s="14" t="s">
        <v>759</v>
      </c>
      <c r="G17" s="14" t="s">
        <v>779</v>
      </c>
    </row>
    <row r="18" spans="2:8" ht="15" customHeight="1">
      <c r="B18" s="288">
        <v>11</v>
      </c>
      <c r="C18" s="14" t="s">
        <v>780</v>
      </c>
      <c r="D18" s="34">
        <f>'3.5-资金清分'!D53</f>
        <v>0</v>
      </c>
      <c r="E18" s="34">
        <f>'3.5-资金清分'!E53</f>
        <v>11752.890155815716</v>
      </c>
      <c r="F18" s="14" t="s">
        <v>235</v>
      </c>
      <c r="G18" s="14" t="s">
        <v>781</v>
      </c>
    </row>
    <row r="19" spans="2:8" ht="15" customHeight="1">
      <c r="B19" s="288">
        <v>12</v>
      </c>
      <c r="C19" s="14" t="s">
        <v>782</v>
      </c>
      <c r="D19" s="34">
        <f>'3.5-资金清分'!D54</f>
        <v>0</v>
      </c>
      <c r="E19" s="34">
        <f>'3.5-资金清分'!E54</f>
        <v>2208.333333333333</v>
      </c>
      <c r="F19" s="14" t="s">
        <v>783</v>
      </c>
      <c r="G19" s="14" t="s">
        <v>784</v>
      </c>
    </row>
    <row r="20" spans="2:8" ht="15" customHeight="1">
      <c r="B20" s="288">
        <v>13</v>
      </c>
      <c r="C20" s="14" t="s">
        <v>785</v>
      </c>
      <c r="D20" s="34">
        <f>'3.5-资金清分'!D64</f>
        <v>18605.278350515462</v>
      </c>
      <c r="E20" s="34">
        <f>'3.5-资金清分'!E64</f>
        <v>18605.278350515462</v>
      </c>
      <c r="F20" s="14" t="s">
        <v>786</v>
      </c>
      <c r="G20" s="14" t="s">
        <v>787</v>
      </c>
    </row>
    <row r="21" spans="2:8" ht="15" customHeight="1">
      <c r="B21" s="288">
        <v>14</v>
      </c>
      <c r="C21" s="14" t="s">
        <v>788</v>
      </c>
      <c r="D21" s="34">
        <f>'3.5-资金清分'!D88</f>
        <v>1269.8721649484539</v>
      </c>
      <c r="E21" s="34">
        <f>'3.5-资金清分'!E88</f>
        <v>1601.1221649484539</v>
      </c>
      <c r="F21" s="14" t="s">
        <v>789</v>
      </c>
      <c r="G21" s="14" t="s">
        <v>790</v>
      </c>
    </row>
    <row r="22" spans="2:8" ht="15" customHeight="1">
      <c r="B22" s="288">
        <v>15</v>
      </c>
      <c r="C22" s="14" t="s">
        <v>791</v>
      </c>
      <c r="D22" s="34">
        <f>'3.5-资金清分'!D89</f>
        <v>317.46804123711348</v>
      </c>
      <c r="E22" s="34">
        <f>'3.5-资金清分'!E89</f>
        <v>400.28054123711348</v>
      </c>
      <c r="F22" s="14" t="s">
        <v>789</v>
      </c>
      <c r="G22" s="14" t="s">
        <v>792</v>
      </c>
    </row>
    <row r="25" spans="2:8" ht="15" customHeight="1">
      <c r="B25" s="375" t="s">
        <v>793</v>
      </c>
      <c r="C25" s="375"/>
      <c r="D25" s="375"/>
      <c r="E25" s="375"/>
      <c r="F25" s="375"/>
      <c r="G25" s="375"/>
      <c r="H25" s="375"/>
    </row>
    <row r="27" spans="2:8" ht="15" customHeight="1">
      <c r="B27" s="286" t="s">
        <v>748</v>
      </c>
      <c r="C27" s="286" t="s">
        <v>47</v>
      </c>
      <c r="D27" s="286" t="s">
        <v>794</v>
      </c>
      <c r="E27" s="286" t="s">
        <v>795</v>
      </c>
      <c r="F27" s="286" t="s">
        <v>796</v>
      </c>
      <c r="G27" s="286" t="s">
        <v>797</v>
      </c>
      <c r="H27" s="286" t="s">
        <v>798</v>
      </c>
    </row>
    <row r="28" spans="2:8" ht="15" customHeight="1">
      <c r="B28" s="288">
        <v>1</v>
      </c>
      <c r="C28" s="14" t="s">
        <v>55</v>
      </c>
      <c r="D28" s="34">
        <f>'4-相关方收益分配'!F15</f>
        <v>340.23452054794524</v>
      </c>
      <c r="E28" s="34">
        <f>'4-相关方收益分配'!I15</f>
        <v>407.85438356164389</v>
      </c>
      <c r="F28" s="289">
        <f t="shared" ref="F28:F37" si="0">IF(D$38=0,"-",D28/D$38)</f>
        <v>1.0723640009035279E-2</v>
      </c>
      <c r="G28" s="289">
        <f t="shared" ref="G28:G37" si="1">IF(E$38=0,"-",E28/E$38)</f>
        <v>2.0776530431357108E-2</v>
      </c>
      <c r="H28" s="13" t="s">
        <v>799</v>
      </c>
    </row>
    <row r="29" spans="2:8" ht="15" customHeight="1">
      <c r="B29" s="288">
        <v>2</v>
      </c>
      <c r="C29" s="14" t="s">
        <v>59</v>
      </c>
      <c r="D29" s="34">
        <f>'4-相关方收益分配'!F22</f>
        <v>10010.315993424652</v>
      </c>
      <c r="E29" s="34">
        <f>'4-相关方收益分配'!I22</f>
        <v>3282.4454497602687</v>
      </c>
      <c r="F29" s="289">
        <f t="shared" si="0"/>
        <v>0.31550891695908084</v>
      </c>
      <c r="G29" s="289">
        <f t="shared" si="1"/>
        <v>0.16721121685800477</v>
      </c>
      <c r="H29" s="13" t="s">
        <v>799</v>
      </c>
    </row>
    <row r="30" spans="2:8" ht="15" customHeight="1">
      <c r="B30" s="288">
        <v>3</v>
      </c>
      <c r="C30" s="14" t="s">
        <v>63</v>
      </c>
      <c r="D30" s="34">
        <f>'4-相关方收益分配'!F25</f>
        <v>12234.830658630131</v>
      </c>
      <c r="E30" s="34">
        <f>'4-相关方收益分配'!I25</f>
        <v>4011.8777719292179</v>
      </c>
      <c r="F30" s="289">
        <f t="shared" si="0"/>
        <v>0.38562200961665438</v>
      </c>
      <c r="G30" s="289">
        <f t="shared" si="1"/>
        <v>0.20436926504867253</v>
      </c>
      <c r="H30" s="14" t="s">
        <v>800</v>
      </c>
    </row>
    <row r="31" spans="2:8" ht="15" customHeight="1">
      <c r="B31" s="288">
        <v>4</v>
      </c>
      <c r="C31" s="14" t="s">
        <v>66</v>
      </c>
      <c r="D31" s="34">
        <f>'4-相关方收益分配'!F30</f>
        <v>692.08686863437379</v>
      </c>
      <c r="E31" s="34">
        <f>'4-相关方收益分配'!I30</f>
        <v>899.76960265263858</v>
      </c>
      <c r="F31" s="289">
        <f t="shared" si="0"/>
        <v>2.1813455090515022E-2</v>
      </c>
      <c r="G31" s="289">
        <f t="shared" si="1"/>
        <v>4.5835208064883233E-2</v>
      </c>
      <c r="H31" s="14" t="s">
        <v>67</v>
      </c>
    </row>
    <row r="32" spans="2:8" ht="15" customHeight="1">
      <c r="B32" s="288">
        <v>5</v>
      </c>
      <c r="C32" s="14" t="s">
        <v>70</v>
      </c>
      <c r="D32" s="34">
        <f>'4-相关方收益分配'!F34</f>
        <v>0</v>
      </c>
      <c r="E32" s="34">
        <f>'4-相关方收益分配'!I34</f>
        <v>797.10984418428507</v>
      </c>
      <c r="F32" s="289">
        <f t="shared" si="0"/>
        <v>0</v>
      </c>
      <c r="G32" s="289">
        <f t="shared" si="1"/>
        <v>4.0605612204548079E-2</v>
      </c>
      <c r="H32" s="14" t="s">
        <v>801</v>
      </c>
    </row>
    <row r="33" spans="2:8" ht="15" customHeight="1">
      <c r="B33" s="288">
        <v>6</v>
      </c>
      <c r="C33" s="14" t="s">
        <v>74</v>
      </c>
      <c r="D33" s="34">
        <f>'4-相关方收益分配'!F37</f>
        <v>0</v>
      </c>
      <c r="E33" s="34">
        <f>'4-相关方收益分配'!I37</f>
        <v>1532.9856724977021</v>
      </c>
      <c r="F33" s="289">
        <f t="shared" si="0"/>
        <v>0</v>
      </c>
      <c r="G33" s="289">
        <f t="shared" si="1"/>
        <v>7.8091899362089517E-2</v>
      </c>
      <c r="H33" s="14" t="s">
        <v>802</v>
      </c>
    </row>
    <row r="34" spans="2:8" ht="15" customHeight="1">
      <c r="B34" s="288">
        <v>7</v>
      </c>
      <c r="C34" s="14" t="s">
        <v>78</v>
      </c>
      <c r="D34" s="34">
        <f>'4-相关方收益分配'!F41</f>
        <v>7497.6494845360839</v>
      </c>
      <c r="E34" s="34">
        <f>'4-相关方收益分配'!I41</f>
        <v>7497.6494845360839</v>
      </c>
      <c r="F34" s="289">
        <f t="shared" si="0"/>
        <v>0.23631374575574193</v>
      </c>
      <c r="G34" s="289">
        <f t="shared" si="1"/>
        <v>0.3819381351716396</v>
      </c>
      <c r="H34" s="14" t="s">
        <v>803</v>
      </c>
    </row>
    <row r="35" spans="2:8" ht="15" customHeight="1">
      <c r="B35" s="288">
        <v>8</v>
      </c>
      <c r="C35" s="14" t="s">
        <v>81</v>
      </c>
      <c r="D35" s="34">
        <f>'4-相关方收益分配'!F44</f>
        <v>0</v>
      </c>
      <c r="E35" s="34">
        <f>'4-相关方收益分配'!I44</f>
        <v>0</v>
      </c>
      <c r="F35" s="289">
        <f t="shared" si="0"/>
        <v>0</v>
      </c>
      <c r="G35" s="289">
        <f t="shared" si="1"/>
        <v>0</v>
      </c>
      <c r="H35" s="14" t="s">
        <v>804</v>
      </c>
    </row>
    <row r="36" spans="2:8" ht="15" customHeight="1">
      <c r="B36" s="288">
        <v>9</v>
      </c>
      <c r="C36" s="14" t="s">
        <v>84</v>
      </c>
      <c r="D36" s="34">
        <f>'4-相关方收益分配'!F47</f>
        <v>0</v>
      </c>
      <c r="E36" s="34">
        <f>'4-相关方收益分配'!I47</f>
        <v>0</v>
      </c>
      <c r="F36" s="289">
        <f t="shared" si="0"/>
        <v>0</v>
      </c>
      <c r="G36" s="289">
        <f t="shared" si="1"/>
        <v>0</v>
      </c>
      <c r="H36" s="14" t="s">
        <v>805</v>
      </c>
    </row>
    <row r="37" spans="2:8" ht="15" customHeight="1">
      <c r="B37" s="288">
        <v>10</v>
      </c>
      <c r="C37" s="14" t="s">
        <v>88</v>
      </c>
      <c r="D37" s="34">
        <f>'4-相关方收益分配'!F50</f>
        <v>952.40412371134039</v>
      </c>
      <c r="E37" s="34">
        <f>'4-相关方收益分配'!I50</f>
        <v>1200.8416237113404</v>
      </c>
      <c r="F37" s="289">
        <f t="shared" si="0"/>
        <v>3.0018232568972621E-2</v>
      </c>
      <c r="G37" s="289">
        <f t="shared" si="1"/>
        <v>6.1172132858805121E-2</v>
      </c>
      <c r="H37" s="13" t="s">
        <v>799</v>
      </c>
    </row>
    <row r="38" spans="2:8" ht="15" customHeight="1">
      <c r="C38" s="11" t="s">
        <v>806</v>
      </c>
      <c r="D38" s="290">
        <f>SUM(D28:D37)</f>
        <v>31727.521649484526</v>
      </c>
      <c r="E38" s="290">
        <f>SUM(E28:E37)</f>
        <v>19630.533832833182</v>
      </c>
      <c r="F38" s="291">
        <v>1</v>
      </c>
      <c r="G38" s="291">
        <v>1</v>
      </c>
    </row>
    <row r="41" spans="2:8" ht="18.75" customHeight="1">
      <c r="B41" s="375" t="s">
        <v>807</v>
      </c>
      <c r="C41" s="375"/>
      <c r="D41" s="375"/>
      <c r="E41" s="375"/>
      <c r="F41" s="375"/>
      <c r="G41" s="375"/>
      <c r="H41" s="375"/>
    </row>
    <row r="43" spans="2:8" ht="15" customHeight="1">
      <c r="B43" s="292" t="s">
        <v>808</v>
      </c>
      <c r="C43" s="293" t="s">
        <v>49</v>
      </c>
      <c r="D43" s="293" t="s">
        <v>794</v>
      </c>
      <c r="E43" s="293" t="s">
        <v>795</v>
      </c>
      <c r="F43" s="293" t="s">
        <v>809</v>
      </c>
      <c r="G43" s="293" t="s">
        <v>810</v>
      </c>
      <c r="H43" s="293" t="s">
        <v>811</v>
      </c>
    </row>
    <row r="44" spans="2:8" ht="15" customHeight="1">
      <c r="B44" s="14" t="s">
        <v>59</v>
      </c>
      <c r="C44" s="14" t="s">
        <v>812</v>
      </c>
      <c r="D44" s="34">
        <f>'4-相关方收益分配'!F22</f>
        <v>10010.315993424652</v>
      </c>
      <c r="E44" s="34">
        <f>'4-相关方收益分配'!I22</f>
        <v>3282.4454497602687</v>
      </c>
      <c r="F44" s="289">
        <f t="shared" ref="F44:G46" si="2">IF(D$47=0,"-",D44/D$47)</f>
        <v>0.91312337508073183</v>
      </c>
      <c r="G44" s="289">
        <f t="shared" si="2"/>
        <v>0.62162854439689208</v>
      </c>
      <c r="H44" s="14" t="s">
        <v>813</v>
      </c>
    </row>
    <row r="45" spans="2:8" ht="15" customHeight="1">
      <c r="B45" s="14" t="s">
        <v>70</v>
      </c>
      <c r="C45" s="14" t="s">
        <v>814</v>
      </c>
      <c r="D45" s="34">
        <f>'4-相关方收益分配'!F34</f>
        <v>0</v>
      </c>
      <c r="E45" s="34">
        <f>'4-相关方收益分配'!I34</f>
        <v>797.10984418428507</v>
      </c>
      <c r="F45" s="289">
        <f t="shared" si="2"/>
        <v>0</v>
      </c>
      <c r="G45" s="289">
        <f t="shared" si="2"/>
        <v>0.15095642555183955</v>
      </c>
      <c r="H45" s="14" t="s">
        <v>815</v>
      </c>
    </row>
    <row r="46" spans="2:8" ht="15" customHeight="1">
      <c r="B46" s="14" t="s">
        <v>88</v>
      </c>
      <c r="C46" s="14" t="s">
        <v>816</v>
      </c>
      <c r="D46" s="34">
        <f>'4-相关方收益分配'!F50</f>
        <v>952.40412371134039</v>
      </c>
      <c r="E46" s="34">
        <f>'4-相关方收益分配'!I50</f>
        <v>1200.8416237113404</v>
      </c>
      <c r="F46" s="289">
        <f t="shared" si="2"/>
        <v>8.6876624919268272E-2</v>
      </c>
      <c r="G46" s="289">
        <f t="shared" si="2"/>
        <v>0.22741503005126845</v>
      </c>
      <c r="H46" s="14" t="s">
        <v>817</v>
      </c>
    </row>
    <row r="47" spans="2:8" ht="15" customHeight="1">
      <c r="B47" s="294" t="s">
        <v>818</v>
      </c>
      <c r="D47" s="295">
        <f>SUM(D44:D46)</f>
        <v>10962.720117135992</v>
      </c>
      <c r="E47" s="295">
        <f>SUM(E44:E46)</f>
        <v>5280.396917655894</v>
      </c>
      <c r="F47" s="296">
        <v>1</v>
      </c>
      <c r="G47" s="296">
        <v>1</v>
      </c>
    </row>
    <row r="48" spans="2:8">
      <c r="B48" s="226" t="s">
        <v>661</v>
      </c>
      <c r="C48" s="226" t="s">
        <v>819</v>
      </c>
    </row>
  </sheetData>
  <mergeCells count="3">
    <mergeCell ref="B5:H5"/>
    <mergeCell ref="B25:H25"/>
    <mergeCell ref="B41:H41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3"/>
  <sheetViews>
    <sheetView topLeftCell="A8" zoomScaleNormal="100" workbookViewId="0">
      <selection activeCell="E15" sqref="E15"/>
    </sheetView>
  </sheetViews>
  <sheetFormatPr defaultColWidth="8.73046875" defaultRowHeight="14.25" customHeight="1"/>
  <cols>
    <col min="2" max="2" width="23.1328125" customWidth="1"/>
    <col min="3" max="10" width="15.1328125" customWidth="1"/>
  </cols>
  <sheetData>
    <row r="2" spans="2:10" ht="19.5" customHeight="1">
      <c r="B2" s="222" t="s">
        <v>820</v>
      </c>
    </row>
    <row r="3" spans="2:10">
      <c r="B3" s="226" t="s">
        <v>821</v>
      </c>
    </row>
    <row r="4" spans="2:10" ht="15" customHeight="1"/>
    <row r="5" spans="2:10" ht="15" customHeight="1">
      <c r="B5" s="297" t="s">
        <v>822</v>
      </c>
      <c r="C5" s="263"/>
      <c r="D5" s="263"/>
      <c r="E5" s="263"/>
      <c r="F5" s="263"/>
      <c r="G5" s="263"/>
      <c r="H5" s="263"/>
      <c r="I5" s="263"/>
      <c r="J5" s="263"/>
    </row>
    <row r="6" spans="2:10" ht="15" customHeight="1">
      <c r="B6" s="298" t="s">
        <v>823</v>
      </c>
      <c r="C6" s="299" t="s">
        <v>824</v>
      </c>
      <c r="D6" s="299" t="s">
        <v>825</v>
      </c>
      <c r="E6" s="299" t="s">
        <v>826</v>
      </c>
      <c r="F6" s="299" t="s">
        <v>472</v>
      </c>
      <c r="G6" s="299" t="s">
        <v>827</v>
      </c>
      <c r="H6" s="299" t="s">
        <v>828</v>
      </c>
      <c r="I6" s="299" t="s">
        <v>829</v>
      </c>
      <c r="J6" s="299" t="s">
        <v>830</v>
      </c>
    </row>
    <row r="7" spans="2:10" ht="15" customHeight="1">
      <c r="B7" s="300">
        <v>-0.3</v>
      </c>
      <c r="C7" s="301">
        <f>'1-基础参数'!$C$6*(1+B7)</f>
        <v>147</v>
      </c>
      <c r="D7" s="301">
        <f>C7*'1-基础参数'!$C$9*'1-基础参数'!$C$12</f>
        <v>52684.800000000003</v>
      </c>
      <c r="E7" s="301">
        <f>D7-'2-单车成本测算'!$G$35</f>
        <v>-18821.197816651344</v>
      </c>
      <c r="F7" s="302">
        <f t="shared" ref="F7:F13" si="0">IF(D7=0,0,E7/D7)</f>
        <v>-0.35724151589550196</v>
      </c>
      <c r="G7" s="301">
        <f>((D7-D7*'1-基础参数'!$C$25*'1-基础参数'!$C$22)*(1-'1-基础参数'!$C$26)-'2-单车成本测算'!$G$21-'2-单车成本测算'!$G$28-'2-单车成本测算'!$G$24-'2-单车成本测算'!$G$32)*(1-'1-基础参数'!$C$33)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H7" s="301">
        <f>((D7-D7*'1-基础参数'!$C$25*'1-基础参数'!$C$22)*(1-'1-基础参数'!$C$26)-'2-单车成本测算'!$G$21-'2-单车成本测算'!$G$28-'2-单车成本测算'!$G$24-'2-单车成本测算'!$G$32)*'1-基础参数'!$C$33</f>
        <v>-65.778538958903852</v>
      </c>
      <c r="I7" s="301">
        <f>(D7-D7*'1-基础参数'!$C$25*'1-基础参数'!$C$22)*'1-基础参数'!$C$26+('2-单车成本测算'!$G$21*'1-基础参数'!$C$27/'2-单车成本测算'!$E$15*'1-基础参数'!$C$28+'2-单车成本测算'!$G$28*'1-基础参数'!$C$29)*'1-基础参数'!$C$34</f>
        <v>579.70122041519562</v>
      </c>
      <c r="J7" s="301">
        <f>D7*'1-基础参数'!$C$25*'1-基础参数'!$C$22+G7+H7+I7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</row>
    <row r="8" spans="2:10" ht="15" customHeight="1">
      <c r="B8" s="300">
        <v>-0.2</v>
      </c>
      <c r="C8" s="301">
        <f>'1-基础参数'!$C$6*(1+B8)</f>
        <v>168</v>
      </c>
      <c r="D8" s="301">
        <f>C8*'1-基础参数'!$C$9*'1-基础参数'!$C$12</f>
        <v>60211.200000000004</v>
      </c>
      <c r="E8" s="301">
        <f>D8-'2-单车成本测算'!$G$35</f>
        <v>-11294.797816651342</v>
      </c>
      <c r="F8" s="302">
        <f t="shared" si="0"/>
        <v>-0.18758632640856421</v>
      </c>
      <c r="G8" s="301">
        <f>((D8-D8*'1-基础参数'!$C$25*'1-基础参数'!$C$22)*(1-'1-基础参数'!$C$26)-'2-单车成本测算'!$G$21-'2-单车成本测算'!$G$28-'2-单车成本测算'!$G$24-'2-单车成本测算'!$G$32)*(1-'1-基础参数'!$C$33)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H8" s="301">
        <f>((D8-D8*'1-基础参数'!$C$25*'1-基础参数'!$C$22)*(1-'1-基础参数'!$C$26)-'2-单车成本测算'!$G$21-'2-单车成本测算'!$G$28-'2-单车成本测算'!$G$24-'2-单车成本测算'!$G$32)*'1-基础参数'!$C$33</f>
        <v>4034.4245269041089</v>
      </c>
      <c r="I8" s="301">
        <f>(D8-D8*'1-基础参数'!$C$25*'1-基础参数'!$C$22)*'1-基础参数'!$C$26+('2-单车成本测算'!$G$21*'1-基础参数'!$C$27/'2-单车成本测算'!$E$15*'1-基础参数'!$C$28+'2-单车成本测算'!$G$28*'1-基础参数'!$C$29)*'1-基础参数'!$C$34</f>
        <v>617.16310315492171</v>
      </c>
      <c r="J8" s="301">
        <f>D8*'1-基础参数'!$C$25*'1-基础参数'!$C$22+G8+H8+I8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16674.721649484538</v>
      </c>
    </row>
    <row r="9" spans="2:10" ht="15" customHeight="1">
      <c r="B9" s="300">
        <v>-0.1</v>
      </c>
      <c r="C9" s="301">
        <f>'1-基础参数'!$C$6*(1+B9)</f>
        <v>189</v>
      </c>
      <c r="D9" s="301">
        <f>C9*'1-基础参数'!$C$9*'1-基础参数'!$C$12</f>
        <v>67737.600000000006</v>
      </c>
      <c r="E9" s="301">
        <f>D9-'2-单车成本测算'!$G$35</f>
        <v>-3768.3978166513407</v>
      </c>
      <c r="F9" s="302">
        <f t="shared" si="0"/>
        <v>-5.563229014094595E-2</v>
      </c>
      <c r="G9" s="301">
        <f>((D9-D9*'1-基础参数'!$C$25*'1-基础参数'!$C$22)*(1-'1-基础参数'!$C$26)-'2-单车成本测算'!$G$21-'2-单车成本测算'!$G$28-'2-单车成本测算'!$G$24-'2-单车成本测算'!$G$32)*(1-'1-基础参数'!$C$33)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H9" s="301">
        <f>((D9-D9*'1-基础参数'!$C$25*'1-基础参数'!$C$22)*(1-'1-基础参数'!$C$26)-'2-单车成本测算'!$G$21-'2-单车成本测算'!$G$28-'2-单车成本测算'!$G$24-'2-单车成本测算'!$G$32)*'1-基础参数'!$C$33</f>
        <v>8134.6275927671277</v>
      </c>
      <c r="I9" s="301">
        <f>(D9-D9*'1-基础参数'!$C$25*'1-基础参数'!$C$22)*'1-基础参数'!$C$26+('2-单车成本测算'!$G$21*'1-基础参数'!$C$27/'2-单车成本测算'!$E$15*'1-基础参数'!$C$28+'2-单车成本测算'!$G$28*'1-基础参数'!$C$29)*'1-基础参数'!$C$34</f>
        <v>654.62498589464781</v>
      </c>
      <c r="J9" s="301">
        <f>D9*'1-基础参数'!$C$25*'1-基础参数'!$C$22+G9+H9+I9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24201.121649484547</v>
      </c>
    </row>
    <row r="10" spans="2:10" ht="15" customHeight="1">
      <c r="B10" s="303">
        <v>0</v>
      </c>
      <c r="C10" s="304">
        <f>'1-基础参数'!$C$6*(1+B10)</f>
        <v>210</v>
      </c>
      <c r="D10" s="304">
        <f>C10*'1-基础参数'!$C$9*'1-基础参数'!$C$12</f>
        <v>75264</v>
      </c>
      <c r="E10" s="304">
        <f>D10-'2-单车成本测算'!$G$35</f>
        <v>3758.0021833486535</v>
      </c>
      <c r="F10" s="305">
        <f t="shared" si="0"/>
        <v>4.9930938873148561E-2</v>
      </c>
      <c r="G10" s="304">
        <f>((D10-D10*'1-基础参数'!$C$25*'1-基础参数'!$C$22)*(1-'1-基础参数'!$C$26)-'2-单车成本测算'!$G$21-'2-单车成本测算'!$G$28-'2-单车成本测算'!$G$24-'2-单车成本测算'!$G$32)*(1-'1-基础参数'!$C$33)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H10" s="304">
        <f>((D10-D10*'1-基础参数'!$C$25*'1-基础参数'!$C$22)*(1-'1-基础参数'!$C$26)-'2-单车成本测算'!$G$21-'2-单车成本测算'!$G$28-'2-单车成本测算'!$G$24-'2-单车成本测算'!$G$32)*'1-基础参数'!$C$33</f>
        <v>12234.830658630131</v>
      </c>
      <c r="I10" s="304">
        <f>(D10-D10*'1-基础参数'!$C$25*'1-基础参数'!$C$22)*'1-基础参数'!$C$26+('2-单车成本测算'!$G$21*'1-基础参数'!$C$27/'2-单车成本测算'!$E$15*'1-基础参数'!$C$28+'2-单车成本测算'!$G$28*'1-基础参数'!$C$29)*'1-基础参数'!$C$34</f>
        <v>692.08686863437379</v>
      </c>
      <c r="J10" s="304">
        <f>D10*'1-基础参数'!$C$25*'1-基础参数'!$C$22+G10+H10+I10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31727.521649484526</v>
      </c>
    </row>
    <row r="11" spans="2:10" ht="15" customHeight="1">
      <c r="B11" s="300">
        <v>0.1</v>
      </c>
      <c r="C11" s="301">
        <f>'1-基础参数'!$C$6*(1+B11)</f>
        <v>231.00000000000003</v>
      </c>
      <c r="D11" s="301">
        <f>C11*'1-基础参数'!$C$9*'1-基础参数'!$C$12</f>
        <v>82790.400000000023</v>
      </c>
      <c r="E11" s="301">
        <f>D11-'2-单车成本测算'!$G$35</f>
        <v>11284.402183348677</v>
      </c>
      <c r="F11" s="302">
        <f t="shared" si="0"/>
        <v>0.1363008535210444</v>
      </c>
      <c r="G11" s="301">
        <f>((D11-D11*'1-基础参数'!$C$25*'1-基础参数'!$C$22)*(1-'1-基础参数'!$C$26)-'2-单车成本测算'!$G$21-'2-单车成本测算'!$G$28-'2-单车成本测算'!$G$24-'2-单车成本测算'!$G$32)*(1-'1-基础参数'!$C$33)</f>
        <v>13365.027592767128</v>
      </c>
      <c r="H11" s="301">
        <f>((D11-D11*'1-基础参数'!$C$25*'1-基础参数'!$C$22)*(1-'1-基础参数'!$C$26)-'2-单车成本测算'!$G$21-'2-单车成本测算'!$G$28-'2-单车成本测算'!$G$24-'2-单车成本测算'!$G$32)*'1-基础参数'!$C$33</f>
        <v>16335.033724493162</v>
      </c>
      <c r="I11" s="301">
        <f>(D11-D11*'1-基础参数'!$C$25*'1-基础参数'!$C$22)*'1-基础参数'!$C$26+('2-单车成本测算'!$G$21*'1-基础参数'!$C$27/'2-单车成本测算'!$E$15*'1-基础参数'!$C$28+'2-单车成本测算'!$G$28*'1-基础参数'!$C$29)*'1-基础参数'!$C$34</f>
        <v>729.54875137409988</v>
      </c>
      <c r="J11" s="301">
        <f>D11*'1-基础参数'!$C$25*'1-基础参数'!$C$22+G11+H11+I11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39253.921649484553</v>
      </c>
    </row>
    <row r="12" spans="2:10">
      <c r="B12" s="300">
        <v>0.2</v>
      </c>
      <c r="C12" s="301">
        <f>'1-基础参数'!$C$6*(1+B12)</f>
        <v>252</v>
      </c>
      <c r="D12" s="301">
        <f>C12*'1-基础参数'!$C$9*'1-基础参数'!$C$12</f>
        <v>90316.800000000003</v>
      </c>
      <c r="E12" s="301">
        <f>D12-'2-单车成本测算'!$G$35</f>
        <v>18810.802183348656</v>
      </c>
      <c r="F12" s="302">
        <f t="shared" si="0"/>
        <v>0.20827578239429048</v>
      </c>
      <c r="G12" s="301">
        <f>((D12-D12*'1-基础参数'!$C$25*'1-基础参数'!$C$22)*(1-'1-基础参数'!$C$26)-'2-单车成本测算'!$G$21-'2-单车成本测算'!$G$28-'2-单车成本测算'!$G$24-'2-单车成本测算'!$G$32)*(1-'1-基础参数'!$C$33)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H12" s="301">
        <f>((D12-D12*'1-基础参数'!$C$25*'1-基础参数'!$C$22)*(1-'1-基础参数'!$C$26)-'2-单车成本测算'!$G$21-'2-单车成本测算'!$G$28-'2-单车成本测算'!$G$24-'2-单车成本测算'!$G$32)*'1-基础参数'!$C$33</f>
        <v>20435.236790356172</v>
      </c>
      <c r="I12" s="301">
        <f>(D12-D12*'1-基础参数'!$C$25*'1-基础参数'!$C$22)*'1-基础参数'!$C$26+('2-单车成本测算'!$G$21*'1-基础参数'!$C$27/'2-单车成本测算'!$E$15*'1-基础参数'!$C$28+'2-单车成本测算'!$G$28*'1-基础参数'!$C$29)*'1-基础参数'!$C$34</f>
        <v>767.01063411382586</v>
      </c>
      <c r="J12" s="301">
        <f>D12*'1-基础参数'!$C$25*'1-基础参数'!$C$22+G12+H12+I12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46780.321649484547</v>
      </c>
    </row>
    <row r="13" spans="2:10">
      <c r="B13" s="300">
        <v>0.3</v>
      </c>
      <c r="C13" s="301">
        <f>'1-基础参数'!$C$6*(1+B13)</f>
        <v>273</v>
      </c>
      <c r="D13" s="301">
        <f>C13*'1-基础参数'!$C$9*'1-基础参数'!$C$12</f>
        <v>97843.200000000012</v>
      </c>
      <c r="E13" s="301">
        <f>D13-'2-单车成本测算'!$G$35</f>
        <v>26337.202183348665</v>
      </c>
      <c r="F13" s="302">
        <f t="shared" si="0"/>
        <v>0.26917764528703747</v>
      </c>
      <c r="G13" s="301">
        <f>((D13-D13*'1-基础参数'!$C$25*'1-基础参数'!$C$22)*(1-'1-基础参数'!$C$26)-'2-单车成本测算'!$G$21-'2-单车成本测算'!$G$28-'2-单车成本测算'!$G$24-'2-单车成本测算'!$G$32)*(1-'1-基础参数'!$C$33)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H13" s="301">
        <f>((D13-D13*'1-基础参数'!$C$25*'1-基础参数'!$C$22)*(1-'1-基础参数'!$C$26)-'2-单车成本测算'!$G$21-'2-单车成本测算'!$G$28-'2-单车成本测算'!$G$24-'2-单车成本测算'!$G$32)*'1-基础参数'!$C$33</f>
        <v>24535.439856219185</v>
      </c>
      <c r="I13" s="301">
        <f>(D13-D13*'1-基础参数'!$C$25*'1-基础参数'!$C$22)*'1-基础参数'!$C$26+('2-单车成本测算'!$G$21*'1-基础参数'!$C$27/'2-单车成本测算'!$E$15*'1-基础参数'!$C$28+'2-单车成本测算'!$G$28*'1-基础参数'!$C$29)*'1-基础参数'!$C$34</f>
        <v>804.47251685355195</v>
      </c>
      <c r="J13" s="301">
        <f>D13*'1-基础参数'!$C$25*'1-基础参数'!$C$22+G13+H13+I13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</row>
    <row r="15" spans="2:10" ht="15" customHeight="1">
      <c r="B15" s="297" t="s">
        <v>831</v>
      </c>
      <c r="C15" s="263"/>
      <c r="D15" s="263"/>
      <c r="E15" s="263"/>
      <c r="F15" s="263"/>
      <c r="G15" s="263"/>
      <c r="H15" s="263"/>
      <c r="I15" s="263"/>
      <c r="J15" s="263"/>
    </row>
    <row r="16" spans="2:10" ht="24" customHeight="1">
      <c r="B16" s="298" t="s">
        <v>823</v>
      </c>
      <c r="C16" s="299" t="s">
        <v>832</v>
      </c>
      <c r="D16" s="299" t="s">
        <v>825</v>
      </c>
      <c r="E16" s="299" t="s">
        <v>826</v>
      </c>
      <c r="F16" s="299" t="s">
        <v>472</v>
      </c>
      <c r="G16" s="299" t="s">
        <v>827</v>
      </c>
      <c r="H16" s="299" t="s">
        <v>828</v>
      </c>
      <c r="I16" s="299" t="s">
        <v>829</v>
      </c>
      <c r="J16" s="299" t="s">
        <v>830</v>
      </c>
    </row>
    <row r="17" spans="2:10">
      <c r="B17" s="300">
        <v>-0.3</v>
      </c>
      <c r="C17" s="306">
        <f>'1-基础参数'!$C$12*(1+B17)</f>
        <v>7.84</v>
      </c>
      <c r="D17" s="301">
        <f>'1-基础参数'!$C$6*'1-基础参数'!$C$9*C17</f>
        <v>52684.799999999996</v>
      </c>
      <c r="E17" s="301">
        <f>D17-('2-单车成本测算'!$G$9+'2-单车成本测算'!$G$14+'2-单车成本测算'!$G$20*C17+'2-单车成本测算'!$E$27*'1-基础参数'!$C$8*C17+'2-单车成本测算'!$G$24+'2-单车成本测算'!$G$32+ROUND('1-基础参数'!$C$6*'1-基础参数'!$C$9*C17*'1-基础参数'!$C$32,2))</f>
        <v>-7397.8678166513491</v>
      </c>
      <c r="F17" s="302">
        <f t="shared" ref="F17:F23" si="1">IF(D17=0,0,E17/D17)</f>
        <v>-0.14041749834205217</v>
      </c>
      <c r="G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(1-'1-基础参数'!$C$33)</f>
        <v>4172.2211953972601</v>
      </c>
      <c r="H17" s="301">
        <f>((D17-D17*'1-基础参数'!$C$25*'1-基础参数'!$C$22)*(1-'1-基础参数'!$C$26)-'2-单车成本测算'!$G$20*C17*'1-基础参数'!$C$12/'1-基础参数'!$C$12-'2-单车成本测算'!$E$27*'1-基础参数'!$C$8*C17-'2-单车成本测算'!$G$24-'2-单车成本测算'!$G$32)*'1-基础参数'!$C$33</f>
        <v>5099.3814610410973</v>
      </c>
      <c r="I17" s="301">
        <f>(D17-D17*'1-基础参数'!$C$25*'1-基础参数'!$C$22)*'1-基础参数'!$C$26+('2-单车成本测算'!$G$20*C17*'1-基础参数'!$C$12/'1-基础参数'!$C$12*'1-基础参数'!$C$27/'2-单车成本测算'!$E$15*'1-基础参数'!$C$28+'2-单车成本测算'!$E$27*'1-基础参数'!$C$8*C17*'1-基础参数'!$C$29)*'1-基础参数'!$C$34</f>
        <v>484.46080804406159</v>
      </c>
      <c r="J17" s="301">
        <f>D17*'1-基础参数'!$C$25*'1-基础参数'!$C$22+G17+H17+I17+'2-单车成本测算'!$G$20*C17*'1-基础参数'!$C$12/'1-基础参数'!$C$12*'1-基础参数'!$C$27/'2-单车成本测算'!$E$15*(1-'1-基础参数'!$C$28)+('2-单车成本测算'!$G$20*C17*'1-基础参数'!$C$12/'1-基础参数'!$C$12*'1-基础参数'!$C$27/'2-单车成本测算'!$E$15*'1-基础参数'!$C$28+'2-单车成本测算'!$E$27*'1-基础参数'!$C$8*C17*'1-基础参数'!$C$29)*(1-'1-基础参数'!$C$34)</f>
        <v>15909.265154639177</v>
      </c>
    </row>
    <row r="18" spans="2:10">
      <c r="B18" s="300">
        <v>-0.2</v>
      </c>
      <c r="C18" s="306">
        <f>'1-基础参数'!$C$12*(1+B18)</f>
        <v>8.9600000000000009</v>
      </c>
      <c r="D18" s="301">
        <f>'1-基础参数'!$C$6*'1-基础参数'!$C$9*C18</f>
        <v>60211.200000000004</v>
      </c>
      <c r="E18" s="301">
        <f>D18-('2-单车成本测算'!$G$9+'2-单车成本测算'!$G$14+'2-单车成本测算'!$G$20*C18+'2-单车成本测算'!$E$27*'1-基础参数'!$C$8*C18+'2-单车成本测算'!$G$24+'2-单车成本测算'!$G$32+ROUND('1-基础参数'!$C$6*'1-基础参数'!$C$9*C18*'1-基础参数'!$C$32,2))</f>
        <v>-3679.2478166513538</v>
      </c>
      <c r="F18" s="302">
        <f t="shared" si="1"/>
        <v>-6.1105704863071215E-2</v>
      </c>
      <c r="G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(1-'1-基础参数'!$C$33)</f>
        <v>6118.2527947397239</v>
      </c>
      <c r="H18" s="301">
        <f>((D18-D18*'1-基础参数'!$C$25*'1-基础参数'!$C$22)*(1-'1-基础参数'!$C$26)-'2-单车成本测算'!$G$20*C18*'1-基础参数'!$C$12/'1-基础参数'!$C$12-'2-单车成本测算'!$E$27*'1-基础参数'!$C$8*C18-'2-单车成本测算'!$G$24-'2-单车成本测算'!$G$32)*'1-基础参数'!$C$33</f>
        <v>7477.864526904109</v>
      </c>
      <c r="I18" s="301">
        <f>(D18-D18*'1-基础参数'!$C$25*'1-基础参数'!$C$22)*'1-基础参数'!$C$26+('2-单车成本测算'!$G$20*C18*'1-基础参数'!$C$12/'1-基础参数'!$C$12*'1-基础参数'!$C$27/'2-单车成本测算'!$E$15*'1-基础参数'!$C$28+'2-单车成本测算'!$E$27*'1-基础参数'!$C$8*C18*'1-基础参数'!$C$29)*'1-基础参数'!$C$34</f>
        <v>553.66949490749903</v>
      </c>
      <c r="J18" s="301">
        <f>D18*'1-基础参数'!$C$25*'1-基础参数'!$C$22+G18+H18+I18+'2-单车成本测算'!$G$20*C18*'1-基础参数'!$C$12/'1-基础参数'!$C$12*'1-基础参数'!$C$27/'2-单车成本测算'!$E$15*(1-'1-基础参数'!$C$28)+('2-单车成本测算'!$G$20*C18*'1-基础参数'!$C$12/'1-基础参数'!$C$12*'1-基础参数'!$C$27/'2-单车成本测算'!$E$15*'1-基础参数'!$C$28+'2-单车成本测算'!$E$27*'1-基础参数'!$C$8*C18*'1-基础参数'!$C$29)*(1-'1-基础参数'!$C$34)</f>
        <v>21182.017319587627</v>
      </c>
    </row>
    <row r="19" spans="2:10">
      <c r="B19" s="300">
        <v>-0.1</v>
      </c>
      <c r="C19" s="306">
        <f>'1-基础参数'!$C$12*(1+B19)</f>
        <v>10.080000000000002</v>
      </c>
      <c r="D19" s="301">
        <f>'1-基础参数'!$C$6*'1-基础参数'!$C$9*C19</f>
        <v>67737.600000000006</v>
      </c>
      <c r="E19" s="301">
        <f>D19-('2-单车成本测算'!$G$9+'2-单车成本测算'!$G$14+'2-单车成本测算'!$G$20*C19+'2-单车成本测算'!$E$27*'1-基础参数'!$C$8*C19+'2-单车成本测算'!$G$24+'2-单车成本测算'!$G$32+ROUND('1-基础参数'!$C$6*'1-基础参数'!$C$9*C19*'1-基础参数'!$C$32,2))</f>
        <v>39.382183348643593</v>
      </c>
      <c r="F19" s="302">
        <f t="shared" si="1"/>
        <v>5.8139324907648918E-4</v>
      </c>
      <c r="G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(1-'1-基础参数'!$C$33)</f>
        <v>8064.2843940821913</v>
      </c>
      <c r="H19" s="301">
        <f>((D19-D19*'1-基础参数'!$C$25*'1-基础参数'!$C$22)*(1-'1-基础参数'!$C$26)-'2-单车成本测算'!$G$20*C19*'1-基础参数'!$C$12/'1-基础参数'!$C$12-'2-单车成本测算'!$E$27*'1-基础参数'!$C$8*C19-'2-单车成本测算'!$G$24-'2-单车成本测算'!$G$32)*'1-基础参数'!$C$33</f>
        <v>9856.3475927671243</v>
      </c>
      <c r="I19" s="301">
        <f>(D19-D19*'1-基础参数'!$C$25*'1-基础参数'!$C$22)*'1-基础参数'!$C$26+('2-单车成本测算'!$G$20*C19*'1-基础参数'!$C$12/'1-基础参数'!$C$12*'1-基础参数'!$C$27/'2-单车成本测算'!$E$15*'1-基础参数'!$C$28+'2-单车成本测算'!$E$27*'1-基础参数'!$C$8*C19*'1-基础参数'!$C$29)*'1-基础参数'!$C$34</f>
        <v>622.87818177093641</v>
      </c>
      <c r="J19" s="301">
        <f>D19*'1-基础参数'!$C$25*'1-基础参数'!$C$22+G19+H19+I19+'2-单车成本测算'!$G$20*C19*'1-基础参数'!$C$12/'1-基础参数'!$C$12*'1-基础参数'!$C$27/'2-单车成本测算'!$E$15*(1-'1-基础参数'!$C$28)+('2-单车成本测算'!$G$20*C19*'1-基础参数'!$C$12/'1-基础参数'!$C$12*'1-基础参数'!$C$27/'2-单车成本测算'!$E$15*'1-基础参数'!$C$28+'2-单车成本测算'!$E$27*'1-基础参数'!$C$8*C19*'1-基础参数'!$C$29)*(1-'1-基础参数'!$C$34)</f>
        <v>26454.769484536082</v>
      </c>
    </row>
    <row r="20" spans="2:10">
      <c r="B20" s="303">
        <v>0</v>
      </c>
      <c r="C20" s="307">
        <f>'1-基础参数'!$C$12*(1+B20)</f>
        <v>11.200000000000001</v>
      </c>
      <c r="D20" s="304">
        <f>'1-基础参数'!$C$6*'1-基础参数'!$C$9*C20</f>
        <v>75264</v>
      </c>
      <c r="E20" s="304">
        <f>D20-('2-单车成本测算'!$G$9+'2-单车成本测算'!$G$14+'2-单车成本测算'!$G$20*C20+'2-单车成本测算'!$E$27*'1-基础参数'!$C$8*C20+'2-单车成本测算'!$G$24+'2-单车成本测算'!$G$32+ROUND('1-基础参数'!$C$6*'1-基础参数'!$C$9*C20*'1-基础参数'!$C$32,2))</f>
        <v>3758.0021833486535</v>
      </c>
      <c r="F20" s="305">
        <f t="shared" si="1"/>
        <v>4.9930938873148561E-2</v>
      </c>
      <c r="G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(1-'1-基础参数'!$C$33)</f>
        <v>10010.315993424652</v>
      </c>
      <c r="H20" s="304">
        <f>((D20-D20*'1-基础参数'!$C$25*'1-基础参数'!$C$22)*(1-'1-基础参数'!$C$26)-'2-单车成本测算'!$G$20*C20*'1-基础参数'!$C$12/'1-基础参数'!$C$12-'2-单车成本测算'!$E$27*'1-基础参数'!$C$8*C20-'2-单车成本测算'!$G$24-'2-单车成本测算'!$G$32)*'1-基础参数'!$C$33</f>
        <v>12234.830658630131</v>
      </c>
      <c r="I20" s="304">
        <f>(D20-D20*'1-基础参数'!$C$25*'1-基础参数'!$C$22)*'1-基础参数'!$C$26+('2-单车成本测算'!$G$20*C20*'1-基础参数'!$C$12/'1-基础参数'!$C$12*'1-基础参数'!$C$27/'2-单车成本测算'!$E$15*'1-基础参数'!$C$28+'2-单车成本测算'!$E$27*'1-基础参数'!$C$8*C20*'1-基础参数'!$C$29)*'1-基础参数'!$C$34</f>
        <v>692.08686863437379</v>
      </c>
      <c r="J20" s="304">
        <f>D20*'1-基础参数'!$C$25*'1-基础参数'!$C$22+G20+H20+I20+'2-单车成本测算'!$G$20*C20*'1-基础参数'!$C$12/'1-基础参数'!$C$12*'1-基础参数'!$C$27/'2-单车成本测算'!$E$15*(1-'1-基础参数'!$C$28)+('2-单车成本测算'!$G$20*C20*'1-基础参数'!$C$12/'1-基础参数'!$C$12*'1-基础参数'!$C$27/'2-单车成本测算'!$E$15*'1-基础参数'!$C$28+'2-单车成本测算'!$E$27*'1-基础参数'!$C$8*C20*'1-基础参数'!$C$29)*(1-'1-基础参数'!$C$34)</f>
        <v>31727.521649484526</v>
      </c>
    </row>
    <row r="21" spans="2:10">
      <c r="B21" s="300">
        <v>0.1</v>
      </c>
      <c r="C21" s="306">
        <f>'1-基础参数'!$C$12*(1+B21)</f>
        <v>12.320000000000002</v>
      </c>
      <c r="D21" s="301">
        <f>'1-基础参数'!$C$6*'1-基础参数'!$C$9*C21</f>
        <v>82790.400000000009</v>
      </c>
      <c r="E21" s="301">
        <f>D21-('2-单车成本测算'!$G$9+'2-单车成本测算'!$G$14+'2-单车成本测算'!$G$20*C21+'2-单车成本测算'!$E$27*'1-基础参数'!$C$8*C21+'2-单车成本测算'!$G$24+'2-单车成本测算'!$G$32+ROUND('1-基础参数'!$C$6*'1-基础参数'!$C$9*C21*'1-基础参数'!$C$32,2))</f>
        <v>7476.6221833486488</v>
      </c>
      <c r="F21" s="302">
        <f t="shared" si="1"/>
        <v>9.0307839838298251E-2</v>
      </c>
      <c r="G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(1-'1-基础参数'!$C$33)</f>
        <v>11956.347592767119</v>
      </c>
      <c r="H21" s="301">
        <f>((D21-D21*'1-基础参数'!$C$25*'1-基础参数'!$C$22)*(1-'1-基础参数'!$C$26)-'2-单车成本测算'!$G$20*C21*'1-基础参数'!$C$12/'1-基础参数'!$C$12-'2-单车成本测算'!$E$27*'1-基础参数'!$C$8*C21-'2-单车成本测算'!$G$24-'2-单车成本测算'!$G$32)*'1-基础参数'!$C$33</f>
        <v>14613.313724493148</v>
      </c>
      <c r="I21" s="301">
        <f>(D21-D21*'1-基础参数'!$C$25*'1-基础参数'!$C$22)*'1-基础参数'!$C$26+('2-单车成本测算'!$G$20*C21*'1-基础参数'!$C$12/'1-基础参数'!$C$12*'1-基础参数'!$C$27/'2-单车成本测算'!$E$15*'1-基础参数'!$C$28+'2-单车成本测算'!$E$27*'1-基础参数'!$C$8*C21*'1-基础参数'!$C$29)*'1-基础参数'!$C$34</f>
        <v>761.29555549781116</v>
      </c>
      <c r="J21" s="301">
        <f>D21*'1-基础参数'!$C$25*'1-基础参数'!$C$22+G21+H21+I21+'2-单车成本测算'!$G$20*C21*'1-基础参数'!$C$12/'1-基础参数'!$C$12*'1-基础参数'!$C$27/'2-单车成本测算'!$E$15*(1-'1-基础参数'!$C$28)+('2-单车成本测算'!$G$20*C21*'1-基础参数'!$C$12/'1-基础参数'!$C$12*'1-基础参数'!$C$27/'2-单车成本测算'!$E$15*'1-基础参数'!$C$28+'2-单车成本测算'!$E$27*'1-基础参数'!$C$8*C21*'1-基础参数'!$C$29)*(1-'1-基础参数'!$C$34)</f>
        <v>37000.273814432978</v>
      </c>
    </row>
    <row r="22" spans="2:10">
      <c r="B22" s="300">
        <v>0.2</v>
      </c>
      <c r="C22" s="306">
        <f>'1-基础参数'!$C$12*(1+B22)</f>
        <v>13.440000000000001</v>
      </c>
      <c r="D22" s="301">
        <f>'1-基础参数'!$C$6*'1-基础参数'!$C$9*C22</f>
        <v>90316.800000000003</v>
      </c>
      <c r="E22" s="301">
        <f>D22-('2-单车成本测算'!$G$9+'2-单车成本测算'!$G$14+'2-单车成本测算'!$G$20*C22+'2-单车成本测算'!$E$27*'1-基础参数'!$C$8*C22+'2-单车成本测算'!$G$24+'2-单车成本测算'!$G$32+ROUND('1-基础参数'!$C$6*'1-基础参数'!$C$9*C22*'1-基础参数'!$C$32,2))</f>
        <v>11195.252183348668</v>
      </c>
      <c r="F22" s="302">
        <f t="shared" si="1"/>
        <v>0.1239553680306285</v>
      </c>
      <c r="G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(1-'1-基础参数'!$C$33)</f>
        <v>13902.379192109593</v>
      </c>
      <c r="H22" s="301">
        <f>((D22-D22*'1-基础参数'!$C$25*'1-基础参数'!$C$22)*(1-'1-基础参数'!$C$26)-'2-单车成本测算'!$G$20*C22*'1-基础参数'!$C$12/'1-基础参数'!$C$12-'2-单车成本测算'!$E$27*'1-基础参数'!$C$8*C22-'2-单车成本测算'!$G$24-'2-单车成本测算'!$G$32)*'1-基础参数'!$C$33</f>
        <v>16991.796790356173</v>
      </c>
      <c r="I22" s="301">
        <f>(D22-D22*'1-基础参数'!$C$25*'1-基础参数'!$C$22)*'1-基础参数'!$C$26+('2-单车成本测算'!$G$20*C22*'1-基础参数'!$C$12/'1-基础参数'!$C$12*'1-基础参数'!$C$27/'2-单车成本测算'!$E$15*'1-基础参数'!$C$28+'2-单车成本测算'!$E$27*'1-基础参数'!$C$8*C22*'1-基础参数'!$C$29)*'1-基础参数'!$C$34</f>
        <v>830.50424236124854</v>
      </c>
      <c r="J22" s="301">
        <f>D22*'1-基础参数'!$C$25*'1-基础参数'!$C$22+G22+H22+I22+'2-单车成本测算'!$G$20*C22*'1-基础参数'!$C$12/'1-基础参数'!$C$12*'1-基础参数'!$C$27/'2-单车成本测算'!$E$15*(1-'1-基础参数'!$C$28)+('2-单车成本测算'!$G$20*C22*'1-基础参数'!$C$12/'1-基础参数'!$C$12*'1-基础参数'!$C$27/'2-单车成本测算'!$E$15*'1-基础参数'!$C$28+'2-单车成本测算'!$E$27*'1-基础参数'!$C$8*C22*'1-基础参数'!$C$29)*(1-'1-基础参数'!$C$34)</f>
        <v>42273.025979381455</v>
      </c>
    </row>
    <row r="23" spans="2:10">
      <c r="B23" s="300">
        <v>0.3</v>
      </c>
      <c r="C23" s="306">
        <f>'1-基础参数'!$C$12*(1+B23)</f>
        <v>14.560000000000002</v>
      </c>
      <c r="D23" s="301">
        <f>'1-基础参数'!$C$6*'1-基础参数'!$C$9*C23</f>
        <v>97843.200000000012</v>
      </c>
      <c r="E23" s="301">
        <f>D23-('2-单车成本测算'!$G$9+'2-单车成本测算'!$G$14+'2-单车成本测算'!$G$20*C23+'2-单车成本测算'!$E$27*'1-基础参数'!$C$8*C23+'2-单车成本测算'!$G$24+'2-单车成本测算'!$G$32+ROUND('1-基础参数'!$C$6*'1-基础参数'!$C$9*C23*'1-基础参数'!$C$32,2))</f>
        <v>14913.872183348649</v>
      </c>
      <c r="F23" s="302">
        <f t="shared" si="1"/>
        <v>0.152426251219795</v>
      </c>
      <c r="G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(1-'1-基础参数'!$C$33)</f>
        <v>15848.410791452055</v>
      </c>
      <c r="H23" s="301">
        <f>((D23-D23*'1-基础参数'!$C$25*'1-基础参数'!$C$22)*(1-'1-基础参数'!$C$26)-'2-单车成本测算'!$G$20*C23*'1-基础参数'!$C$12/'1-基础参数'!$C$12-'2-单车成本测算'!$E$27*'1-基础参数'!$C$8*C23-'2-单车成本测算'!$G$24-'2-单车成本测算'!$G$32)*'1-基础参数'!$C$33</f>
        <v>19370.279856219182</v>
      </c>
      <c r="I23" s="301">
        <f>(D23-D23*'1-基础参数'!$C$25*'1-基础参数'!$C$22)*'1-基础参数'!$C$26+('2-单车成本测算'!$G$20*C23*'1-基础参数'!$C$12/'1-基础参数'!$C$12*'1-基础参数'!$C$27/'2-单车成本测算'!$E$15*'1-基础参数'!$C$28+'2-单车成本测算'!$E$27*'1-基础参数'!$C$8*C23*'1-基础参数'!$C$29)*'1-基础参数'!$C$34</f>
        <v>899.71292922468592</v>
      </c>
      <c r="J23" s="301">
        <f>D23*'1-基础参数'!$C$25*'1-基础参数'!$C$22+G23+H23+I23+'2-单车成本测算'!$G$20*C23*'1-基础参数'!$C$12/'1-基础参数'!$C$12*'1-基础参数'!$C$27/'2-单车成本测算'!$E$15*(1-'1-基础参数'!$C$28)+('2-单车成本测算'!$G$20*C23*'1-基础参数'!$C$12/'1-基础参数'!$C$12*'1-基础参数'!$C$27/'2-单车成本测算'!$E$15*'1-基础参数'!$C$28+'2-单车成本测算'!$E$27*'1-基础参数'!$C$8*C23*'1-基础参数'!$C$29)*(1-'1-基础参数'!$C$34)</f>
        <v>47545.778144329895</v>
      </c>
    </row>
    <row r="25" spans="2:10" ht="15" customHeight="1">
      <c r="B25" s="297" t="s">
        <v>833</v>
      </c>
      <c r="C25" s="263"/>
      <c r="D25" s="263"/>
      <c r="E25" s="263"/>
      <c r="F25" s="263"/>
      <c r="G25" s="263"/>
      <c r="H25" s="263"/>
      <c r="I25" s="263"/>
      <c r="J25" s="263"/>
    </row>
    <row r="26" spans="2:10">
      <c r="B26" s="298" t="s">
        <v>834</v>
      </c>
      <c r="C26" s="308">
        <v>0.4</v>
      </c>
      <c r="D26" s="308">
        <v>0.45</v>
      </c>
      <c r="E26" s="308">
        <v>0.5</v>
      </c>
      <c r="F26" s="309">
        <v>0.55000000000000004</v>
      </c>
      <c r="G26" s="308">
        <v>0.6</v>
      </c>
      <c r="H26" s="308">
        <v>0.65</v>
      </c>
      <c r="I26" s="308">
        <v>0.7</v>
      </c>
    </row>
    <row r="27" spans="2:10">
      <c r="B27" s="5">
        <v>147</v>
      </c>
      <c r="C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C$26)</f>
        <v>-71.758406136986011</v>
      </c>
      <c r="D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D$26)</f>
        <v>-65.778538958903852</v>
      </c>
      <c r="E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E$26)</f>
        <v>-59.798671780821678</v>
      </c>
      <c r="F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F$26)</f>
        <v>-53.818804602739505</v>
      </c>
      <c r="G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G$26)</f>
        <v>-47.838937424657345</v>
      </c>
      <c r="H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H$26)</f>
        <v>-41.859070246575172</v>
      </c>
      <c r="I27" s="301">
        <f>(($B27*'1-基础参数'!$C$9*'1-基础参数'!$C$12-$B27*'1-基础参数'!$C$9*'1-基础参数'!$C$12*'1-基础参数'!$C$25*'1-基础参数'!$C$22)*(1-'1-基础参数'!$C$26)-'2-单车成本测算'!$G$21-'2-单车成本测算'!$G$28-'2-单车成本测算'!$G$24-'2-单车成本测算'!$G$32)*(1-I$26)</f>
        <v>-35.879203068493013</v>
      </c>
    </row>
    <row r="28" spans="2:10">
      <c r="B28" s="5">
        <v>168</v>
      </c>
      <c r="C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C$26)</f>
        <v>4401.1903929863001</v>
      </c>
      <c r="D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D$26)</f>
        <v>4034.4245269041089</v>
      </c>
      <c r="E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E$26)</f>
        <v>3667.6586608219168</v>
      </c>
      <c r="F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F$26)</f>
        <v>3300.8927947397246</v>
      </c>
      <c r="G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G$26)</f>
        <v>2934.1269286575334</v>
      </c>
      <c r="H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H$26)</f>
        <v>2567.3610625753417</v>
      </c>
      <c r="I28" s="301">
        <f>(($B28*'1-基础参数'!$C$9*'1-基础参数'!$C$12-$B28*'1-基础参数'!$C$9*'1-基础参数'!$C$12*'1-基础参数'!$C$25*'1-基础参数'!$C$22)*(1-'1-基础参数'!$C$26)-'2-单车成本测算'!$G$21-'2-单车成本测算'!$G$28-'2-单车成本测算'!$G$24-'2-单车成本测算'!$G$32)*(1-I$26)</f>
        <v>2200.5951964931505</v>
      </c>
    </row>
    <row r="29" spans="2:10">
      <c r="B29" s="5">
        <v>189</v>
      </c>
      <c r="C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C$26)</f>
        <v>8874.1391921095928</v>
      </c>
      <c r="D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D$26)</f>
        <v>8134.6275927671277</v>
      </c>
      <c r="E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E$26)</f>
        <v>7395.1159934246607</v>
      </c>
      <c r="F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F$26)</f>
        <v>6655.6043940821937</v>
      </c>
      <c r="G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G$26)</f>
        <v>5916.0927947397286</v>
      </c>
      <c r="H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H$26)</f>
        <v>5176.5811953972625</v>
      </c>
      <c r="I29" s="301">
        <f>(($B29*'1-基础参数'!$C$9*'1-基础参数'!$C$12-$B29*'1-基础参数'!$C$9*'1-基础参数'!$C$12*'1-基础参数'!$C$25*'1-基础参数'!$C$22)*(1-'1-基础参数'!$C$26)-'2-单车成本测算'!$G$21-'2-单车成本测算'!$G$28-'2-单车成本测算'!$G$24-'2-单车成本测算'!$G$32)*(1-I$26)</f>
        <v>4437.0695960547973</v>
      </c>
    </row>
    <row r="30" spans="2:10">
      <c r="B30" s="310">
        <v>210</v>
      </c>
      <c r="C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C$26)</f>
        <v>13347.087991232869</v>
      </c>
      <c r="D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D$26)</f>
        <v>12234.830658630131</v>
      </c>
      <c r="E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E$26)</f>
        <v>11122.573326027392</v>
      </c>
      <c r="F30" s="304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F$26)</f>
        <v>10010.315993424652</v>
      </c>
      <c r="G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G$26)</f>
        <v>8898.0586608219146</v>
      </c>
      <c r="H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H$26)</f>
        <v>7785.8013282191741</v>
      </c>
      <c r="I30" s="301">
        <f>(($B30*'1-基础参数'!$C$9*'1-基础参数'!$C$12-$B30*'1-基础参数'!$C$9*'1-基础参数'!$C$12*'1-基础参数'!$C$25*'1-基础参数'!$C$22)*(1-'1-基础参数'!$C$26)-'2-单车成本测算'!$G$21-'2-单车成本测算'!$G$28-'2-单车成本测算'!$G$24-'2-单车成本测算'!$G$32)*(1-I$26)</f>
        <v>6673.5439956164364</v>
      </c>
    </row>
    <row r="31" spans="2:10">
      <c r="B31" s="5">
        <v>231</v>
      </c>
      <c r="C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C$26)</f>
        <v>17820.036790356164</v>
      </c>
      <c r="D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D$26)</f>
        <v>16335.033724493152</v>
      </c>
      <c r="E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E$26)</f>
        <v>14850.030658630138</v>
      </c>
      <c r="F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F$26)</f>
        <v>13365.027592767123</v>
      </c>
      <c r="G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G$26)</f>
        <v>11880.024526904112</v>
      </c>
      <c r="H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H$26)</f>
        <v>10395.021461041095</v>
      </c>
      <c r="I31" s="301">
        <f>(($B31*'1-基础参数'!$C$9*'1-基础参数'!$C$12-$B31*'1-基础参数'!$C$9*'1-基础参数'!$C$12*'1-基础参数'!$C$25*'1-基础参数'!$C$22)*(1-'1-基础参数'!$C$26)-'2-单车成本测算'!$G$21-'2-单车成本测算'!$G$28-'2-单车成本测算'!$G$24-'2-单车成本测算'!$G$32)*(1-I$26)</f>
        <v>8910.0183951780837</v>
      </c>
    </row>
    <row r="32" spans="2:10">
      <c r="B32" s="5">
        <v>252</v>
      </c>
      <c r="C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C$26)</f>
        <v>22292.98558947946</v>
      </c>
      <c r="D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D$26)</f>
        <v>20435.236790356172</v>
      </c>
      <c r="E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E$26)</f>
        <v>18577.487991232883</v>
      </c>
      <c r="F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F$26)</f>
        <v>16719.739192109595</v>
      </c>
      <c r="G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G$26)</f>
        <v>14861.990392986307</v>
      </c>
      <c r="H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H$26)</f>
        <v>13004.241593863018</v>
      </c>
      <c r="I32" s="301">
        <f>(($B32*'1-基础参数'!$C$9*'1-基础参数'!$C$12-$B32*'1-基础参数'!$C$9*'1-基础参数'!$C$12*'1-基础参数'!$C$25*'1-基础参数'!$C$22)*(1-'1-基础参数'!$C$26)-'2-单车成本测算'!$G$21-'2-单车成本测算'!$G$28-'2-单车成本测算'!$G$24-'2-单车成本测算'!$G$32)*(1-I$26)</f>
        <v>11146.492794739732</v>
      </c>
    </row>
    <row r="33" spans="2:10">
      <c r="B33" s="5">
        <v>273</v>
      </c>
      <c r="C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C$26)</f>
        <v>26765.934388602745</v>
      </c>
      <c r="D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D$26)</f>
        <v>24535.439856219185</v>
      </c>
      <c r="E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E$26)</f>
        <v>22304.945323835622</v>
      </c>
      <c r="F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F$26)</f>
        <v>20074.450791452058</v>
      </c>
      <c r="G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G$26)</f>
        <v>17843.956259068498</v>
      </c>
      <c r="H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H$26)</f>
        <v>15613.461726684935</v>
      </c>
      <c r="I33" s="301">
        <f>(($B33*'1-基础参数'!$C$9*'1-基础参数'!$C$12-$B33*'1-基础参数'!$C$9*'1-基础参数'!$C$12*'1-基础参数'!$C$25*'1-基础参数'!$C$22)*(1-'1-基础参数'!$C$26)-'2-单车成本测算'!$G$21-'2-单车成本测算'!$G$28-'2-单车成本测算'!$G$24-'2-单车成本测算'!$G$32)*(1-I$26)</f>
        <v>13382.967194301375</v>
      </c>
    </row>
    <row r="35" spans="2:10" ht="15" customHeight="1">
      <c r="B35" s="297" t="s">
        <v>835</v>
      </c>
      <c r="C35" s="263"/>
      <c r="D35" s="263"/>
      <c r="E35" s="263"/>
      <c r="F35" s="263"/>
      <c r="G35" s="263"/>
      <c r="H35" s="263"/>
      <c r="I35" s="263"/>
      <c r="J35" s="263"/>
    </row>
    <row r="36" spans="2:10" ht="24" customHeight="1">
      <c r="B36" s="299" t="s">
        <v>824</v>
      </c>
      <c r="C36" s="299" t="s">
        <v>836</v>
      </c>
      <c r="D36" s="299" t="s">
        <v>837</v>
      </c>
      <c r="E36" s="299" t="s">
        <v>838</v>
      </c>
      <c r="F36" s="299" t="s">
        <v>839</v>
      </c>
      <c r="G36" s="299" t="s">
        <v>840</v>
      </c>
      <c r="H36" s="299" t="s">
        <v>841</v>
      </c>
      <c r="I36" s="299" t="s">
        <v>842</v>
      </c>
      <c r="J36" s="299" t="s">
        <v>843</v>
      </c>
    </row>
    <row r="37" spans="2:10">
      <c r="B37" s="311">
        <v>147</v>
      </c>
      <c r="C37" s="301">
        <f>$B37*'1-基础参数'!$C$9*'1-基础参数'!$C$12*'1-基础参数'!$C$25*'1-基础参数'!$C$22</f>
        <v>238.16416438356168</v>
      </c>
      <c r="D37" s="301">
        <f>$B37*'1-基础参数'!$C$9*'1-基础参数'!$C$12*'1-基础参数'!$C$25*'1-基础参数'!$C$22+'2-单车成本测算'!$H$10*'1-基础参数'!$C$25*'1-基础参数'!$C$23</f>
        <v>305.78402739726033</v>
      </c>
      <c r="E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(1-'1-基础参数'!$C$33)</f>
        <v>-53.818804602739505</v>
      </c>
      <c r="F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-6751.4125546027408</v>
      </c>
      <c r="G37" s="301">
        <f>(($B37*'1-基础参数'!$C$9*'1-基础参数'!$C$12-$B37*'1-基础参数'!$C$9*'1-基础参数'!$C$12*'1-基础参数'!$C$25*'1-基础参数'!$C$22)*(1-'1-基础参数'!$C$26)-'2-单车成本测算'!$G$21-'2-单车成本测算'!$G$28-'2-单车成本测算'!$G$24-'2-单车成本测算'!$G$32)*'1-基础参数'!$C$33</f>
        <v>-65.778538958903852</v>
      </c>
      <c r="H37" s="301">
        <f>(($B37*'1-基础参数'!$C$9*'1-基础参数'!$C$12-$B37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-8251.7264556255741</v>
      </c>
      <c r="I37" s="301">
        <f>C37+E37+G37+($B37*'1-基础参数'!$C$9*'1-基础参数'!$C$12-$B37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9148.3216494845383</v>
      </c>
      <c r="J37" s="301">
        <f>D37+F37+H37+($B37*'1-基础参数'!$C$9*'1-基础参数'!$C$12-$B37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-3081.0009570875964</v>
      </c>
    </row>
    <row r="38" spans="2:10">
      <c r="B38" s="311">
        <v>168</v>
      </c>
      <c r="C38" s="301">
        <f>$B38*'1-基础参数'!$C$9*'1-基础参数'!$C$12*'1-基础参数'!$C$25*'1-基础参数'!$C$22</f>
        <v>272.1876164383562</v>
      </c>
      <c r="D38" s="301">
        <f>$B38*'1-基础参数'!$C$9*'1-基础参数'!$C$12*'1-基础参数'!$C$25*'1-基础参数'!$C$22+'2-单车成本测算'!$H$10*'1-基础参数'!$C$25*'1-基础参数'!$C$23</f>
        <v>339.80747945205485</v>
      </c>
      <c r="E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(1-'1-基础参数'!$C$33)</f>
        <v>3300.8927947397246</v>
      </c>
      <c r="F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-3396.7009552602735</v>
      </c>
      <c r="G38" s="301">
        <f>(($B38*'1-基础参数'!$C$9*'1-基础参数'!$C$12-$B38*'1-基础参数'!$C$9*'1-基础参数'!$C$12*'1-基础参数'!$C$25*'1-基础参数'!$C$22)*(1-'1-基础参数'!$C$26)-'2-单车成本测算'!$G$21-'2-单车成本测算'!$G$28-'2-单车成本测算'!$G$24-'2-单车成本测算'!$G$32)*'1-基础参数'!$C$33</f>
        <v>4034.4245269041089</v>
      </c>
      <c r="H38" s="301">
        <f>(($B38*'1-基础参数'!$C$9*'1-基础参数'!$C$12-$B38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-4151.5233897625576</v>
      </c>
      <c r="I38" s="301">
        <f>C38+E38+G38+($B38*'1-基础参数'!$C$9*'1-基础参数'!$C$12-$B38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16674.721649484534</v>
      </c>
      <c r="J38" s="301">
        <f>D38+F38+H38+($B38*'1-基础参数'!$C$9*'1-基础参数'!$C$12-$B38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4445.3990429124078</v>
      </c>
    </row>
    <row r="39" spans="2:10">
      <c r="B39" s="311">
        <v>189</v>
      </c>
      <c r="C39" s="301">
        <f>$B39*'1-基础参数'!$C$9*'1-基础参数'!$C$12*'1-基础参数'!$C$25*'1-基础参数'!$C$22</f>
        <v>306.21106849315072</v>
      </c>
      <c r="D39" s="301">
        <f>$B39*'1-基础参数'!$C$9*'1-基础参数'!$C$12*'1-基础参数'!$C$25*'1-基础参数'!$C$22+'2-单车成本测算'!$H$10*'1-基础参数'!$C$25*'1-基础参数'!$C$23</f>
        <v>373.83093150684937</v>
      </c>
      <c r="E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(1-'1-基础参数'!$C$33)</f>
        <v>6655.6043940821937</v>
      </c>
      <c r="F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-41.989355917809185</v>
      </c>
      <c r="G39" s="301">
        <f>(($B39*'1-基础参数'!$C$9*'1-基础参数'!$C$12-$B39*'1-基础参数'!$C$9*'1-基础参数'!$C$12*'1-基础参数'!$C$25*'1-基础参数'!$C$22)*(1-'1-基础参数'!$C$26)-'2-单车成本测算'!$G$21-'2-单车成本测算'!$G$28-'2-单车成本测算'!$G$24-'2-单车成本测算'!$G$32)*'1-基础参数'!$C$33</f>
        <v>8134.6275927671277</v>
      </c>
      <c r="H39" s="301">
        <f>(($B39*'1-基础参数'!$C$9*'1-基础参数'!$C$12-$B39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-51.320323899544569</v>
      </c>
      <c r="I39" s="301">
        <f>C39+E39+G39+($B39*'1-基础参数'!$C$9*'1-基础参数'!$C$12-$B39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24201.121649484543</v>
      </c>
      <c r="J39" s="301">
        <f>D39+F39+H39+($B39*'1-基础参数'!$C$9*'1-基础参数'!$C$12-$B39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11971.799042912404</v>
      </c>
    </row>
    <row r="40" spans="2:10">
      <c r="B40" s="312">
        <v>210</v>
      </c>
      <c r="C40" s="304">
        <f>$B40*'1-基础参数'!$C$9*'1-基础参数'!$C$12*'1-基础参数'!$C$25*'1-基础参数'!$C$22</f>
        <v>340.23452054794524</v>
      </c>
      <c r="D40" s="304">
        <f>$B40*'1-基础参数'!$C$9*'1-基础参数'!$C$12*'1-基础参数'!$C$25*'1-基础参数'!$C$22+'2-单车成本测算'!$H$10*'1-基础参数'!$C$25*'1-基础参数'!$C$23</f>
        <v>407.85438356164389</v>
      </c>
      <c r="E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10010.315993424652</v>
      </c>
      <c r="F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3312.7222434246519</v>
      </c>
      <c r="G40" s="304">
        <f>(($B40*'1-基础参数'!$C$9*'1-基础参数'!$C$12-$B40*'1-基础参数'!$C$9*'1-基础参数'!$C$12*'1-基础参数'!$C$25*'1-基础参数'!$C$22)*(1-'1-基础参数'!$C$26)-'2-单车成本测算'!$G$21-'2-单车成本测算'!$G$28-'2-单车成本测算'!$G$24-'2-单车成本测算'!$G$32)*'1-基础参数'!$C$33</f>
        <v>12234.830658630131</v>
      </c>
      <c r="H40" s="304">
        <f>(($B40*'1-基础参数'!$C$9*'1-基础参数'!$C$12-$B40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4048.882741963464</v>
      </c>
      <c r="I40" s="304">
        <f>C40+E40+G40+($B40*'1-基础参数'!$C$9*'1-基础参数'!$C$12-$B40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31727.521649484523</v>
      </c>
      <c r="J40" s="304">
        <f>D40+F40+H40+($B40*'1-基础参数'!$C$9*'1-基础参数'!$C$12-$B40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19498.199042912394</v>
      </c>
    </row>
    <row r="41" spans="2:10">
      <c r="B41" s="311">
        <v>231</v>
      </c>
      <c r="C41" s="301">
        <f>$B41*'1-基础参数'!$C$9*'1-基础参数'!$C$12*'1-基础参数'!$C$25*'1-基础参数'!$C$22</f>
        <v>374.25797260273981</v>
      </c>
      <c r="D41" s="301">
        <f>$B41*'1-基础参数'!$C$9*'1-基础参数'!$C$12*'1-基础参数'!$C$25*'1-基础参数'!$C$22+'2-单车成本测算'!$H$10*'1-基础参数'!$C$25*'1-基础参数'!$C$23</f>
        <v>441.87783561643846</v>
      </c>
      <c r="E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13365.027592767123</v>
      </c>
      <c r="F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6667.4338427671273</v>
      </c>
      <c r="G41" s="301">
        <f>(($B41*'1-基础参数'!$C$9*'1-基础参数'!$C$12-$B41*'1-基础参数'!$C$9*'1-基础参数'!$C$12*'1-基础参数'!$C$25*'1-基础参数'!$C$22)*(1-'1-基础参数'!$C$26)-'2-单车成本测算'!$G$21-'2-单车成本测算'!$G$28-'2-单车成本测算'!$G$24-'2-单车成本测算'!$G$32)*'1-基础参数'!$C$33</f>
        <v>16335.033724493152</v>
      </c>
      <c r="H41" s="301">
        <f>(($B41*'1-基础参数'!$C$9*'1-基础参数'!$C$12-$B41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8149.085807826491</v>
      </c>
      <c r="I41" s="301">
        <f>C41+E41+G41+($B41*'1-基础参数'!$C$9*'1-基础参数'!$C$12-$B41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39253.921649484539</v>
      </c>
      <c r="J41" s="301">
        <f>D41+F41+H41+($B41*'1-基础参数'!$C$9*'1-基础参数'!$C$12-$B41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27024.599042912418</v>
      </c>
    </row>
    <row r="42" spans="2:10">
      <c r="B42" s="311">
        <v>252</v>
      </c>
      <c r="C42" s="301">
        <f>$B42*'1-基础参数'!$C$9*'1-基础参数'!$C$12*'1-基础参数'!$C$25*'1-基础参数'!$C$22</f>
        <v>408.28142465753433</v>
      </c>
      <c r="D42" s="301">
        <f>$B42*'1-基础参数'!$C$9*'1-基础参数'!$C$12*'1-基础参数'!$C$25*'1-基础参数'!$C$22+'2-单车成本测算'!$H$10*'1-基础参数'!$C$25*'1-基础参数'!$C$23</f>
        <v>475.90128767123298</v>
      </c>
      <c r="E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(1-'1-基础参数'!$C$33)</f>
        <v>16719.739192109595</v>
      </c>
      <c r="F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10022.145442109591</v>
      </c>
      <c r="G42" s="301">
        <f>(($B42*'1-基础参数'!$C$9*'1-基础参数'!$C$12-$B42*'1-基础参数'!$C$9*'1-基础参数'!$C$12*'1-基础参数'!$C$25*'1-基础参数'!$C$22)*(1-'1-基础参数'!$C$26)-'2-单车成本测算'!$G$21-'2-单车成本测算'!$G$28-'2-单车成本测算'!$G$24-'2-单车成本测算'!$G$32)*'1-基础参数'!$C$33</f>
        <v>20435.236790356172</v>
      </c>
      <c r="H42" s="301">
        <f>(($B42*'1-基础参数'!$C$9*'1-基础参数'!$C$12-$B42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12249.288873689504</v>
      </c>
      <c r="I42" s="301">
        <f>C42+E42+G42+($B42*'1-基础参数'!$C$9*'1-基础参数'!$C$12-$B42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46780.321649484555</v>
      </c>
      <c r="J42" s="301">
        <f>D42+F42+H42+($B42*'1-基础参数'!$C$9*'1-基础参数'!$C$12-$B42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34550.999042912415</v>
      </c>
    </row>
    <row r="43" spans="2:10">
      <c r="B43" s="311">
        <v>273</v>
      </c>
      <c r="C43" s="301">
        <f>$B43*'1-基础参数'!$C$9*'1-基础参数'!$C$12*'1-基础参数'!$C$25*'1-基础参数'!$C$22</f>
        <v>442.30487671232885</v>
      </c>
      <c r="D43" s="301">
        <f>$B43*'1-基础参数'!$C$9*'1-基础参数'!$C$12*'1-基础参数'!$C$25*'1-基础参数'!$C$22+'2-单车成本测算'!$H$10*'1-基础参数'!$C$25*'1-基础参数'!$C$23</f>
        <v>509.9247397260275</v>
      </c>
      <c r="E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(1-'1-基础参数'!$C$33)</f>
        <v>20074.450791452058</v>
      </c>
      <c r="F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(1-'1-基础参数'!$C$33)</f>
        <v>13376.857041452062</v>
      </c>
      <c r="G43" s="301">
        <f>(($B43*'1-基础参数'!$C$9*'1-基础参数'!$C$12-$B43*'1-基础参数'!$C$9*'1-基础参数'!$C$12*'1-基础参数'!$C$25*'1-基础参数'!$C$22)*(1-'1-基础参数'!$C$26)-'2-单车成本测算'!$G$21-'2-单车成本测算'!$G$28-'2-单车成本测算'!$G$24-'2-单车成本测算'!$G$32)*'1-基础参数'!$C$33</f>
        <v>24535.439856219185</v>
      </c>
      <c r="H43" s="301">
        <f>(($B43*'1-基础参数'!$C$9*'1-基础参数'!$C$12-$B43*'1-基础参数'!$C$9*'1-基础参数'!$C$12*'1-基础参数'!$C$25*'1-基础参数'!$C$22-'2-单车成本测算'!$H$10)*(1-'1-基础参数'!$C$26)-'2-单车成本测算'!$G$21-'2-单车成本测算'!$G$28-'2-单车成本测算'!$G$24-'2-单车成本测算'!$G$32)*'1-基础参数'!$C$33</f>
        <v>16349.491939552525</v>
      </c>
      <c r="I43" s="301">
        <f>C43+E43+G43+($B43*'1-基础参数'!$C$9*'1-基础参数'!$C$12-$B43*'1-基础参数'!$C$9*'1-基础参数'!$C$12*'1-基础参数'!$C$25*'1-基础参数'!$C$22)*'1-基础参数'!$C$26+('2-单车成本测算'!$G$21*'1-基础参数'!$C$27/'2-单车成本测算'!$E$15*'1-基础参数'!$C$28+'2-单车成本测算'!$G$28*'1-基础参数'!$C$29)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$29)*(1-'1-基础参数'!$C$34)</f>
        <v>54306.721649484549</v>
      </c>
      <c r="J43" s="301">
        <f>D43+F43+H43+($B43*'1-基础参数'!$C$9*'1-基础参数'!$C$12-$B43*'1-基础参数'!$C$9*'1-基础参数'!$C$12*'1-基础参数'!$C$25*'1-基础参数'!$C$22-'2-单车成本测算'!$H$10)*'1-基础参数'!$C$26+200+('2-单车成本测算'!$G$21*'1-基础参数'!$C$27/'2-单车成本测算'!$E$15*'1-基础参数'!$C$28+'2-单车成本测算'!$G$28*'1-基础参数'!$C$29+'2-单车成本测算'!$G$14*'1-基础参数'!$C$30)*'1-基础参数'!$C$34+'2-单车成本测算'!$G$21*'1-基础参数'!$C$27/'2-单车成本测算'!$E$15*(1-'1-基础参数'!$C$28)+('2-单车成本测算'!$G$21*'1-基础参数'!$C$27/'2-单车成本测算'!$E$15*'1-基础参数'!$C$28+'2-单车成本测算'!$G$28*'1-基础参数'!$C$29+'2-单车成本测算'!$G$14*'1-基础参数'!$C$30)*(1-'1-基础参数'!$C$34)+'2-单车成本测算'!$G$9*0.15/1.15+'3.5-资金清分'!$E$55</f>
        <v>42077.399042912424</v>
      </c>
    </row>
  </sheetData>
  <phoneticPr fontId="43" type="noConversion"/>
  <conditionalFormatting sqref="C27:I33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C37:J43">
    <cfRule type="cellIs" dxfId="2" priority="6" operator="lessThan">
      <formula>0</formula>
    </cfRule>
  </conditionalFormatting>
  <conditionalFormatting sqref="E7:J13">
    <cfRule type="cellIs" dxfId="1" priority="2" operator="lessThan">
      <formula>0</formula>
    </cfRule>
  </conditionalFormatting>
  <conditionalFormatting sqref="E17:J23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I58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23" sqref="L23"/>
    </sheetView>
  </sheetViews>
  <sheetFormatPr defaultColWidth="8.73046875" defaultRowHeight="14.25"/>
  <cols>
    <col min="1" max="1" width="3" customWidth="1"/>
    <col min="2" max="2" width="15.265625" bestFit="1" customWidth="1"/>
    <col min="3" max="7" width="27" customWidth="1"/>
    <col min="8" max="8" width="13" bestFit="1" customWidth="1"/>
    <col min="9" max="9" width="29.86328125" customWidth="1"/>
  </cols>
  <sheetData>
    <row r="2" spans="2:9" ht="19.899999999999999">
      <c r="B2" s="361" t="s">
        <v>844</v>
      </c>
      <c r="C2" s="361"/>
      <c r="D2" s="361"/>
      <c r="E2" s="361"/>
      <c r="F2" s="361"/>
      <c r="G2" s="361"/>
      <c r="H2" s="361"/>
      <c r="I2" s="361"/>
    </row>
    <row r="3" spans="2:9">
      <c r="B3" s="362" t="s">
        <v>845</v>
      </c>
      <c r="C3" s="362"/>
      <c r="D3" s="362"/>
      <c r="E3" s="362"/>
      <c r="F3" s="362"/>
      <c r="G3" s="362"/>
      <c r="H3" s="362"/>
      <c r="I3" s="362"/>
    </row>
    <row r="5" spans="2:9" ht="15">
      <c r="B5" s="363" t="s">
        <v>846</v>
      </c>
      <c r="C5" s="363"/>
      <c r="D5" s="363"/>
      <c r="E5" s="363"/>
      <c r="F5" s="364" t="s">
        <v>847</v>
      </c>
      <c r="G5" s="364"/>
      <c r="H5" s="364"/>
      <c r="I5" s="364"/>
    </row>
    <row r="6" spans="2:9">
      <c r="B6" s="313" t="s">
        <v>450</v>
      </c>
      <c r="C6" s="313" t="s">
        <v>273</v>
      </c>
      <c r="D6" s="313" t="s">
        <v>274</v>
      </c>
      <c r="E6" s="313" t="s">
        <v>848</v>
      </c>
      <c r="F6" s="345" t="s">
        <v>243</v>
      </c>
      <c r="G6" s="346" t="s">
        <v>849</v>
      </c>
      <c r="H6" s="346" t="s">
        <v>274</v>
      </c>
      <c r="I6" s="346" t="s">
        <v>247</v>
      </c>
    </row>
    <row r="7" spans="2:9">
      <c r="B7" s="314" t="s">
        <v>850</v>
      </c>
      <c r="C7" s="315" t="str">
        <f>"持车服务公司+持车平台（合并）"</f>
        <v>持车服务公司+持车平台（合并）</v>
      </c>
      <c r="D7" s="316" t="s">
        <v>851</v>
      </c>
      <c r="E7" s="317" t="s">
        <v>852</v>
      </c>
      <c r="F7" s="347" t="s">
        <v>947</v>
      </c>
      <c r="G7" s="348">
        <f>($C$8*$C$9)/10000</f>
        <v>4600</v>
      </c>
      <c r="H7" s="349" t="s">
        <v>854</v>
      </c>
      <c r="I7" s="350" t="s">
        <v>855</v>
      </c>
    </row>
    <row r="8" spans="2:9">
      <c r="B8" s="314" t="s">
        <v>856</v>
      </c>
      <c r="C8" s="318">
        <v>100</v>
      </c>
      <c r="D8" s="316" t="s">
        <v>300</v>
      </c>
      <c r="E8" s="317" t="s">
        <v>857</v>
      </c>
      <c r="F8" s="347" t="s">
        <v>940</v>
      </c>
      <c r="G8" s="348">
        <f>(($C$8*$C$9)-($C$8*$C$10))/10000</f>
        <v>1090</v>
      </c>
      <c r="H8" s="349" t="s">
        <v>854</v>
      </c>
      <c r="I8" s="350" t="s">
        <v>858</v>
      </c>
    </row>
    <row r="9" spans="2:9">
      <c r="B9" s="314" t="s">
        <v>859</v>
      </c>
      <c r="C9" s="318">
        <f>'2-单车成本测算'!E5+'2-单车成本测算'!E6+'2-单车成本测算'!E7</f>
        <v>460000</v>
      </c>
      <c r="D9" s="316" t="s">
        <v>860</v>
      </c>
      <c r="E9" s="342" t="s">
        <v>941</v>
      </c>
      <c r="F9" s="351" t="s">
        <v>861</v>
      </c>
      <c r="G9" s="348">
        <f>AVERAGE($C$21:$F$21)/10000</f>
        <v>1795</v>
      </c>
      <c r="H9" s="349" t="s">
        <v>854</v>
      </c>
      <c r="I9" s="350" t="s">
        <v>862</v>
      </c>
    </row>
    <row r="10" spans="2:9">
      <c r="B10" s="314" t="s">
        <v>863</v>
      </c>
      <c r="C10" s="318">
        <f>'2-单车成本测算'!E5*90%</f>
        <v>351000</v>
      </c>
      <c r="D10" s="316" t="s">
        <v>860</v>
      </c>
      <c r="E10" s="317" t="s">
        <v>864</v>
      </c>
      <c r="F10" s="351" t="s">
        <v>865</v>
      </c>
      <c r="G10" s="348">
        <f>AVERAGE($C$29:$F$29)/10000</f>
        <v>227.70859650137862</v>
      </c>
      <c r="H10" s="349" t="s">
        <v>854</v>
      </c>
      <c r="I10" s="350" t="s">
        <v>862</v>
      </c>
    </row>
    <row r="11" spans="2:9">
      <c r="B11" s="314" t="s">
        <v>866</v>
      </c>
      <c r="C11" s="319">
        <f>'1-基础参数'!C24</f>
        <v>5.5E-2</v>
      </c>
      <c r="D11" s="320" t="s">
        <v>473</v>
      </c>
      <c r="E11" s="317" t="s">
        <v>867</v>
      </c>
      <c r="F11" s="352" t="s">
        <v>944</v>
      </c>
      <c r="G11" s="348">
        <f>$G$29/10000</f>
        <v>910.83438600551449</v>
      </c>
      <c r="H11" s="349" t="s">
        <v>854</v>
      </c>
      <c r="I11" s="350" t="s">
        <v>869</v>
      </c>
    </row>
    <row r="12" spans="2:9">
      <c r="B12" s="321" t="s">
        <v>870</v>
      </c>
      <c r="C12" s="322">
        <f>36</f>
        <v>36</v>
      </c>
      <c r="D12" s="316" t="s">
        <v>871</v>
      </c>
      <c r="E12" s="317" t="s">
        <v>872</v>
      </c>
      <c r="F12" s="351" t="s">
        <v>945</v>
      </c>
      <c r="G12" s="353">
        <f>$G$29/($C$8*$C$9)</f>
        <v>0.19800747521859011</v>
      </c>
      <c r="H12" s="354" t="s">
        <v>473</v>
      </c>
      <c r="I12" s="350" t="s">
        <v>874</v>
      </c>
    </row>
    <row r="13" spans="2:9">
      <c r="B13" s="321" t="s">
        <v>875</v>
      </c>
      <c r="C13" s="322">
        <f>4</f>
        <v>4</v>
      </c>
      <c r="D13" s="316" t="s">
        <v>876</v>
      </c>
      <c r="E13" s="317" t="s">
        <v>877</v>
      </c>
      <c r="F13" s="351" t="s">
        <v>946</v>
      </c>
      <c r="G13" s="353">
        <f>IRR($C$40:$G$40)</f>
        <v>0.12597558294849054</v>
      </c>
      <c r="H13" s="354" t="s">
        <v>473</v>
      </c>
      <c r="I13" s="350" t="s">
        <v>879</v>
      </c>
    </row>
    <row r="14" spans="2:9">
      <c r="B14" s="321" t="s">
        <v>880</v>
      </c>
      <c r="C14" s="323">
        <f>25%</f>
        <v>0.25</v>
      </c>
      <c r="D14" s="320" t="s">
        <v>473</v>
      </c>
      <c r="E14" s="317" t="s">
        <v>881</v>
      </c>
      <c r="F14" s="351" t="s">
        <v>882</v>
      </c>
      <c r="G14" s="355">
        <f>SUM($D$40:$G$40)/(-$C$40)</f>
        <v>1.5553029669842815</v>
      </c>
      <c r="H14" s="354" t="s">
        <v>883</v>
      </c>
      <c r="I14" s="350" t="s">
        <v>884</v>
      </c>
    </row>
    <row r="15" spans="2:9">
      <c r="B15" s="314" t="s">
        <v>885</v>
      </c>
      <c r="C15" s="318">
        <f>'3.5-资金清分'!E34/'1-基础参数'!C40</f>
        <v>14958.333333333334</v>
      </c>
      <c r="D15" s="316" t="s">
        <v>886</v>
      </c>
      <c r="E15" s="317" t="s">
        <v>887</v>
      </c>
      <c r="F15" s="351" t="s">
        <v>888</v>
      </c>
      <c r="G15" s="356">
        <f>IF($D$41&gt;=0,ABS($C$41)/$D$40,IF($E$41&gt;=0,1+ABS($D$41)/$E$40,IF($F$41&gt;=0,2+ABS($E$41)/$F$40,IF($G$41&gt;=0,3+ABS($F$41)/$G$40,"未回收"))))</f>
        <v>3.5782019275171661</v>
      </c>
      <c r="H15" s="349" t="s">
        <v>876</v>
      </c>
      <c r="I15" s="350" t="s">
        <v>889</v>
      </c>
    </row>
    <row r="16" spans="2:9">
      <c r="B16" s="314" t="s">
        <v>890</v>
      </c>
      <c r="C16" s="318">
        <f>'3.5-资金清分'!E54/'1-基础参数'!C40</f>
        <v>2208.333333333333</v>
      </c>
      <c r="D16" s="316" t="s">
        <v>886</v>
      </c>
      <c r="E16" s="317" t="s">
        <v>891</v>
      </c>
      <c r="F16" s="357"/>
      <c r="G16" s="357"/>
      <c r="H16" s="357"/>
      <c r="I16" s="357"/>
    </row>
    <row r="17" spans="2:9">
      <c r="B17" s="314" t="s">
        <v>892</v>
      </c>
      <c r="C17" s="318">
        <f>-PMT($C$11/12,$C$12,$C$10)</f>
        <v>10598.761533312909</v>
      </c>
      <c r="D17" s="316" t="s">
        <v>886</v>
      </c>
      <c r="E17" s="317" t="s">
        <v>893</v>
      </c>
      <c r="F17" s="357"/>
      <c r="G17" s="357"/>
      <c r="H17" s="357"/>
      <c r="I17" s="357"/>
    </row>
    <row r="19" spans="2:9" ht="15">
      <c r="B19" s="359" t="s">
        <v>894</v>
      </c>
      <c r="C19" s="359"/>
      <c r="D19" s="359"/>
      <c r="E19" s="359"/>
      <c r="F19" s="359"/>
      <c r="G19" s="359"/>
      <c r="H19" s="359"/>
      <c r="I19" s="359"/>
    </row>
    <row r="20" spans="2:9">
      <c r="B20" s="313" t="s">
        <v>450</v>
      </c>
      <c r="C20" s="313" t="s">
        <v>895</v>
      </c>
      <c r="D20" s="313" t="s">
        <v>896</v>
      </c>
      <c r="E20" s="313" t="s">
        <v>897</v>
      </c>
      <c r="F20" s="313" t="s">
        <v>898</v>
      </c>
      <c r="G20" s="313" t="s">
        <v>899</v>
      </c>
      <c r="H20" s="313" t="s">
        <v>900</v>
      </c>
      <c r="I20" s="313" t="s">
        <v>247</v>
      </c>
    </row>
    <row r="21" spans="2:9" ht="22.5" customHeight="1">
      <c r="B21" s="324" t="s">
        <v>901</v>
      </c>
      <c r="C21" s="325">
        <f>($C$8*$C$15*12)</f>
        <v>17950000</v>
      </c>
      <c r="D21" s="325">
        <f>($C$8*$C$15*12)</f>
        <v>17950000</v>
      </c>
      <c r="E21" s="325">
        <f>($C$8*$C$15*12)</f>
        <v>17950000</v>
      </c>
      <c r="F21" s="325">
        <f>($C$8*$C$15*12)</f>
        <v>17950000</v>
      </c>
      <c r="G21" s="325">
        <f t="shared" ref="G21:G29" si="0">SUM(C21:F21)</f>
        <v>71800000</v>
      </c>
      <c r="H21" s="325">
        <f t="shared" ref="H21:H29" si="1">AVERAGE(C21:F21)</f>
        <v>17950000</v>
      </c>
      <c r="I21" s="327" t="s">
        <v>902</v>
      </c>
    </row>
    <row r="22" spans="2:9" ht="22.5" customHeight="1" thickBot="1">
      <c r="B22" s="324" t="s">
        <v>903</v>
      </c>
      <c r="C22" s="325">
        <f>-( $C$8*$C$16*12 )</f>
        <v>-2650000</v>
      </c>
      <c r="D22" s="325">
        <f>-( $C$8*$C$16*12 )</f>
        <v>-2650000</v>
      </c>
      <c r="E22" s="325">
        <f>-( $C$8*$C$16*12 )</f>
        <v>-2650000</v>
      </c>
      <c r="F22" s="325">
        <f>-( $C$8*$C$16*12 )</f>
        <v>-2650000</v>
      </c>
      <c r="G22" s="325">
        <f t="shared" si="0"/>
        <v>-10600000</v>
      </c>
      <c r="H22" s="325">
        <f t="shared" si="1"/>
        <v>-2650000</v>
      </c>
      <c r="I22" s="327" t="s">
        <v>904</v>
      </c>
    </row>
    <row r="23" spans="2:9" ht="22.5" customHeight="1">
      <c r="B23" s="328" t="s">
        <v>905</v>
      </c>
      <c r="C23" s="329">
        <f>SUM(C21:C22)</f>
        <v>15300000</v>
      </c>
      <c r="D23" s="329">
        <f>SUM(D21:D22)</f>
        <v>15300000</v>
      </c>
      <c r="E23" s="329">
        <f>SUM(E21:E22)</f>
        <v>15300000</v>
      </c>
      <c r="F23" s="329">
        <f>SUM(F21:F22)</f>
        <v>15300000</v>
      </c>
      <c r="G23" s="329">
        <f t="shared" si="0"/>
        <v>61200000</v>
      </c>
      <c r="H23" s="329">
        <f t="shared" si="1"/>
        <v>15300000</v>
      </c>
      <c r="I23" s="331" t="s">
        <v>906</v>
      </c>
    </row>
    <row r="24" spans="2:9" ht="22.5" customHeight="1" thickBot="1">
      <c r="B24" s="324" t="s">
        <v>907</v>
      </c>
      <c r="C24" s="325">
        <f>-( $C$8*$C$9/$C$13 )</f>
        <v>-11500000</v>
      </c>
      <c r="D24" s="325">
        <f>-( $C$8*$C$9/$C$13 )</f>
        <v>-11500000</v>
      </c>
      <c r="E24" s="325">
        <f>-( $C$8*$C$9/$C$13 )</f>
        <v>-11500000</v>
      </c>
      <c r="F24" s="325">
        <f>-( $C$8*$C$9/$C$13 )</f>
        <v>-11500000</v>
      </c>
      <c r="G24" s="325">
        <f t="shared" si="0"/>
        <v>-46000000</v>
      </c>
      <c r="H24" s="325">
        <f t="shared" si="1"/>
        <v>-11500000</v>
      </c>
      <c r="I24" s="327" t="s">
        <v>908</v>
      </c>
    </row>
    <row r="25" spans="2:9" ht="22.5" customHeight="1">
      <c r="B25" s="328" t="s">
        <v>909</v>
      </c>
      <c r="C25" s="329">
        <f>SUM(C23:C24)</f>
        <v>3800000</v>
      </c>
      <c r="D25" s="329">
        <f>SUM(D23:D24)</f>
        <v>3800000</v>
      </c>
      <c r="E25" s="329">
        <f>SUM(E23:E24)</f>
        <v>3800000</v>
      </c>
      <c r="F25" s="329">
        <f>SUM(F23:F24)</f>
        <v>3800000</v>
      </c>
      <c r="G25" s="329">
        <f t="shared" si="0"/>
        <v>15200000</v>
      </c>
      <c r="H25" s="329">
        <f t="shared" si="1"/>
        <v>3800000</v>
      </c>
      <c r="I25" s="358" t="s">
        <v>948</v>
      </c>
    </row>
    <row r="26" spans="2:9" ht="22.5" customHeight="1">
      <c r="B26" s="324" t="s">
        <v>910</v>
      </c>
      <c r="C26" s="325">
        <f>CUMIPMT($C$11/12,$C$12,$C$10*$C$8,1,12,0)</f>
        <v>-1654354.2304743864</v>
      </c>
      <c r="D26" s="325">
        <f>CUMIPMT($C$11/12,$C$12,$C$10*$C$8,13,24,0)</f>
        <v>-1030248.6599383671</v>
      </c>
      <c r="E26" s="325">
        <f>CUMIPMT($C$11/12,$C$12,$C$10*$C$8,25,36,0)</f>
        <v>-370938.62951372005</v>
      </c>
      <c r="F26" s="325">
        <f>0</f>
        <v>0</v>
      </c>
      <c r="G26" s="325">
        <f t="shared" si="0"/>
        <v>-3055541.5199264735</v>
      </c>
      <c r="H26" s="325">
        <f t="shared" si="1"/>
        <v>-763885.37998161837</v>
      </c>
      <c r="I26" s="327" t="s">
        <v>911</v>
      </c>
    </row>
    <row r="27" spans="2:9" ht="22.5" customHeight="1">
      <c r="B27" s="324" t="s">
        <v>912</v>
      </c>
      <c r="C27" s="325">
        <f>SUM(C25:C26)</f>
        <v>2145645.7695256136</v>
      </c>
      <c r="D27" s="325">
        <f>SUM(D25:D26)</f>
        <v>2769751.3400616329</v>
      </c>
      <c r="E27" s="325">
        <f>SUM(E25:E26)</f>
        <v>3429061.3704862799</v>
      </c>
      <c r="F27" s="325">
        <f>SUM(F25:F26)</f>
        <v>3800000</v>
      </c>
      <c r="G27" s="325">
        <f t="shared" si="0"/>
        <v>12144458.480073527</v>
      </c>
      <c r="H27" s="325">
        <f t="shared" si="1"/>
        <v>3036114.6200183816</v>
      </c>
      <c r="I27" s="332" t="s">
        <v>913</v>
      </c>
    </row>
    <row r="28" spans="2:9" ht="22.5" customHeight="1" thickBot="1">
      <c r="B28" s="324" t="s">
        <v>914</v>
      </c>
      <c r="C28" s="325">
        <f>IF(C27&gt;0,-C27*$C$14,0)</f>
        <v>-536411.44238140341</v>
      </c>
      <c r="D28" s="325">
        <f>IF(D27&gt;0,-D27*$C$14,0)</f>
        <v>-692437.83501540823</v>
      </c>
      <c r="E28" s="325">
        <f>IF(E27&gt;0,-E27*$C$14,0)</f>
        <v>-857265.34262156999</v>
      </c>
      <c r="F28" s="325">
        <f>IF(F27&gt;0,-F27*$C$14,0)</f>
        <v>-950000</v>
      </c>
      <c r="G28" s="325">
        <f t="shared" si="0"/>
        <v>-3036114.6200183816</v>
      </c>
      <c r="H28" s="325">
        <f t="shared" si="1"/>
        <v>-759028.65500459541</v>
      </c>
      <c r="I28" s="327" t="s">
        <v>915</v>
      </c>
    </row>
    <row r="29" spans="2:9" ht="22.5" customHeight="1">
      <c r="B29" s="333" t="s">
        <v>916</v>
      </c>
      <c r="C29" s="329">
        <f>SUM(C27:C28)</f>
        <v>1609234.3271442102</v>
      </c>
      <c r="D29" s="329">
        <f>SUM(D27:D28)</f>
        <v>2077313.5050462247</v>
      </c>
      <c r="E29" s="329">
        <f>SUM(E27:E28)</f>
        <v>2571796.02786471</v>
      </c>
      <c r="F29" s="329">
        <f>SUM(F27:F28)</f>
        <v>2850000</v>
      </c>
      <c r="G29" s="329">
        <f t="shared" si="0"/>
        <v>9108343.8600551449</v>
      </c>
      <c r="H29" s="329">
        <f t="shared" si="1"/>
        <v>2277085.9650137862</v>
      </c>
      <c r="I29" s="331" t="s">
        <v>917</v>
      </c>
    </row>
    <row r="31" spans="2:9" ht="15">
      <c r="B31" s="359" t="s">
        <v>918</v>
      </c>
      <c r="C31" s="359"/>
      <c r="D31" s="359"/>
      <c r="E31" s="359"/>
      <c r="F31" s="359"/>
      <c r="G31" s="359"/>
      <c r="H31" s="359"/>
      <c r="I31" s="359"/>
    </row>
    <row r="32" spans="2:9">
      <c r="B32" s="313" t="s">
        <v>450</v>
      </c>
      <c r="C32" s="313" t="s">
        <v>919</v>
      </c>
      <c r="D32" s="313" t="s">
        <v>895</v>
      </c>
      <c r="E32" s="313" t="s">
        <v>896</v>
      </c>
      <c r="F32" s="313" t="s">
        <v>897</v>
      </c>
      <c r="G32" s="313" t="s">
        <v>898</v>
      </c>
      <c r="H32" s="313" t="s">
        <v>899</v>
      </c>
      <c r="I32" s="313" t="s">
        <v>247</v>
      </c>
    </row>
    <row r="33" spans="2:9" ht="19.5" customHeight="1">
      <c r="B33" s="324" t="s">
        <v>916</v>
      </c>
      <c r="C33" s="325">
        <f>0</f>
        <v>0</v>
      </c>
      <c r="D33" s="325">
        <f>C29</f>
        <v>1609234.3271442102</v>
      </c>
      <c r="E33" s="325">
        <f>D29</f>
        <v>2077313.5050462247</v>
      </c>
      <c r="F33" s="325">
        <f>E29</f>
        <v>2571796.02786471</v>
      </c>
      <c r="G33" s="325">
        <f>F29</f>
        <v>2850000</v>
      </c>
      <c r="H33" s="326">
        <f t="shared" ref="H33:H40" si="2">SUM(C33:G33)</f>
        <v>9108343.8600551449</v>
      </c>
      <c r="I33" s="327" t="s">
        <v>920</v>
      </c>
    </row>
    <row r="34" spans="2:9" ht="19.5" customHeight="1">
      <c r="B34" s="324" t="s">
        <v>921</v>
      </c>
      <c r="C34" s="325">
        <f>0</f>
        <v>0</v>
      </c>
      <c r="D34" s="325">
        <f>-C24</f>
        <v>11500000</v>
      </c>
      <c r="E34" s="325">
        <f>-D24</f>
        <v>11500000</v>
      </c>
      <c r="F34" s="325">
        <f>-E24</f>
        <v>11500000</v>
      </c>
      <c r="G34" s="325">
        <f>-F24</f>
        <v>11500000</v>
      </c>
      <c r="H34" s="326">
        <f t="shared" si="2"/>
        <v>46000000</v>
      </c>
      <c r="I34" s="327" t="s">
        <v>922</v>
      </c>
    </row>
    <row r="35" spans="2:9" ht="19.5" customHeight="1">
      <c r="B35" s="333" t="s">
        <v>923</v>
      </c>
      <c r="C35" s="329">
        <f>SUM(C33:C34)</f>
        <v>0</v>
      </c>
      <c r="D35" s="329">
        <f>SUM(D33:D34)</f>
        <v>13109234.327144209</v>
      </c>
      <c r="E35" s="329">
        <f>SUM(E33:E34)</f>
        <v>13577313.505046224</v>
      </c>
      <c r="F35" s="329">
        <f>SUM(F33:F34)</f>
        <v>14071796.027864709</v>
      </c>
      <c r="G35" s="329">
        <f>SUM(G33:G34)</f>
        <v>14350000</v>
      </c>
      <c r="H35" s="330">
        <f t="shared" si="2"/>
        <v>55108343.860055141</v>
      </c>
      <c r="I35" s="331" t="s">
        <v>924</v>
      </c>
    </row>
    <row r="36" spans="2:9" ht="19.5" customHeight="1">
      <c r="B36" s="324" t="s">
        <v>925</v>
      </c>
      <c r="C36" s="325">
        <f>-( $C$8*$C$9 )</f>
        <v>-46000000</v>
      </c>
      <c r="D36" s="325">
        <f>0</f>
        <v>0</v>
      </c>
      <c r="E36" s="325">
        <f>0</f>
        <v>0</v>
      </c>
      <c r="F36" s="325">
        <f>0</f>
        <v>0</v>
      </c>
      <c r="G36" s="325">
        <f>0</f>
        <v>0</v>
      </c>
      <c r="H36" s="326">
        <f t="shared" si="2"/>
        <v>-46000000</v>
      </c>
      <c r="I36" s="332" t="s">
        <v>926</v>
      </c>
    </row>
    <row r="37" spans="2:9" ht="19.5" customHeight="1">
      <c r="B37" s="324" t="s">
        <v>927</v>
      </c>
      <c r="C37" s="325">
        <f>($C$8*$C$10)</f>
        <v>35100000</v>
      </c>
      <c r="D37" s="325">
        <f>0</f>
        <v>0</v>
      </c>
      <c r="E37" s="325">
        <f>0</f>
        <v>0</v>
      </c>
      <c r="F37" s="325">
        <f>0</f>
        <v>0</v>
      </c>
      <c r="G37" s="325">
        <f>0</f>
        <v>0</v>
      </c>
      <c r="H37" s="326">
        <f t="shared" si="2"/>
        <v>35100000</v>
      </c>
      <c r="I37" s="327" t="s">
        <v>864</v>
      </c>
    </row>
    <row r="38" spans="2:9" ht="19.5" customHeight="1">
      <c r="B38" s="324" t="s">
        <v>928</v>
      </c>
      <c r="C38" s="325">
        <f>0</f>
        <v>0</v>
      </c>
      <c r="D38" s="325">
        <f>CUMPRINC($C$11/12,$C$12,$C$10*$C$8,1,12,0)</f>
        <v>-11064159.609501105</v>
      </c>
      <c r="E38" s="325">
        <f>CUMPRINC($C$11/12,$C$12,$C$10*$C$8,13,24,0)</f>
        <v>-11688265.180037124</v>
      </c>
      <c r="F38" s="325">
        <f>CUMPRINC($C$11/12,$C$12,$C$10*$C$8,25,36,0)</f>
        <v>-12347575.210461771</v>
      </c>
      <c r="G38" s="325">
        <f>0</f>
        <v>0</v>
      </c>
      <c r="H38" s="326">
        <f t="shared" si="2"/>
        <v>-35100000</v>
      </c>
      <c r="I38" s="327" t="s">
        <v>929</v>
      </c>
    </row>
    <row r="39" spans="2:9" ht="19.5" customHeight="1" thickBot="1">
      <c r="B39" s="324" t="s">
        <v>930</v>
      </c>
      <c r="C39" s="325">
        <f>0</f>
        <v>0</v>
      </c>
      <c r="D39" s="325">
        <f>C26</f>
        <v>-1654354.2304743864</v>
      </c>
      <c r="E39" s="325">
        <f>D26</f>
        <v>-1030248.6599383671</v>
      </c>
      <c r="F39" s="325">
        <f>E26</f>
        <v>-370938.62951372005</v>
      </c>
      <c r="G39" s="325">
        <f>F26</f>
        <v>0</v>
      </c>
      <c r="H39" s="326">
        <f t="shared" si="2"/>
        <v>-3055541.5199264735</v>
      </c>
      <c r="I39" s="327" t="s">
        <v>931</v>
      </c>
    </row>
    <row r="40" spans="2:9" ht="19.5" customHeight="1" thickBot="1">
      <c r="B40" s="333" t="s">
        <v>932</v>
      </c>
      <c r="C40" s="329">
        <f>SUM(C35:C39)</f>
        <v>-10900000</v>
      </c>
      <c r="D40" s="329">
        <f>SUM(D35:D39)</f>
        <v>390720.48716871813</v>
      </c>
      <c r="E40" s="329">
        <f>SUM(E35:E39)</f>
        <v>858799.66507073306</v>
      </c>
      <c r="F40" s="329">
        <f>SUM(F35:F39)</f>
        <v>1353282.1878892183</v>
      </c>
      <c r="G40" s="329">
        <f>SUM(G35:G39)</f>
        <v>14350000</v>
      </c>
      <c r="H40" s="329">
        <f t="shared" si="2"/>
        <v>6052802.3401286695</v>
      </c>
      <c r="I40" s="331" t="s">
        <v>933</v>
      </c>
    </row>
    <row r="41" spans="2:9" ht="19.5" customHeight="1">
      <c r="B41" s="344" t="s">
        <v>943</v>
      </c>
      <c r="C41" s="329">
        <f>C40</f>
        <v>-10900000</v>
      </c>
      <c r="D41" s="329">
        <f>C41+D40</f>
        <v>-10509279.512831282</v>
      </c>
      <c r="E41" s="329">
        <f>D41+E40</f>
        <v>-9650479.8477605488</v>
      </c>
      <c r="F41" s="329">
        <f>E41+F40</f>
        <v>-8297197.6598713305</v>
      </c>
      <c r="G41" s="329">
        <f>F41+G40</f>
        <v>6052802.3401286695</v>
      </c>
      <c r="H41" s="330">
        <f>G41</f>
        <v>6052802.3401286695</v>
      </c>
      <c r="I41" s="331" t="s">
        <v>934</v>
      </c>
    </row>
    <row r="43" spans="2:9" ht="15">
      <c r="B43" s="359" t="s">
        <v>935</v>
      </c>
      <c r="C43" s="359"/>
      <c r="D43" s="359"/>
      <c r="E43" s="359"/>
      <c r="F43" s="359"/>
      <c r="G43" s="359"/>
      <c r="H43" s="359"/>
      <c r="I43" s="359"/>
    </row>
    <row r="44" spans="2:9">
      <c r="B44" s="313" t="s">
        <v>243</v>
      </c>
      <c r="C44" s="313" t="s">
        <v>849</v>
      </c>
      <c r="D44" s="313" t="s">
        <v>274</v>
      </c>
      <c r="E44" s="313" t="s">
        <v>936</v>
      </c>
    </row>
    <row r="45" spans="2:9">
      <c r="B45" s="334" t="s">
        <v>868</v>
      </c>
      <c r="C45" s="335">
        <f>$G$29/10000</f>
        <v>910.83438600551449</v>
      </c>
      <c r="D45" s="336" t="s">
        <v>854</v>
      </c>
      <c r="E45" s="327" t="s">
        <v>938</v>
      </c>
    </row>
    <row r="46" spans="2:9">
      <c r="B46" s="337" t="s">
        <v>853</v>
      </c>
      <c r="C46" s="335">
        <f>($C$8*$C$9)/10000</f>
        <v>4600</v>
      </c>
      <c r="D46" s="336" t="s">
        <v>854</v>
      </c>
      <c r="E46" s="327" t="s">
        <v>855</v>
      </c>
    </row>
    <row r="47" spans="2:9">
      <c r="B47" s="337" t="s">
        <v>873</v>
      </c>
      <c r="C47" s="338">
        <f>$G$29/($C$8*$C$9)</f>
        <v>0.19800747521859011</v>
      </c>
      <c r="D47" s="339" t="s">
        <v>473</v>
      </c>
      <c r="E47" s="327" t="s">
        <v>874</v>
      </c>
    </row>
    <row r="48" spans="2:9" hidden="1">
      <c r="B48" s="337" t="s">
        <v>878</v>
      </c>
      <c r="C48" s="338">
        <f>IRR($C$40:$G$40)</f>
        <v>0.12597558294849054</v>
      </c>
      <c r="D48" s="339" t="s">
        <v>473</v>
      </c>
      <c r="E48" s="327" t="s">
        <v>939</v>
      </c>
    </row>
    <row r="49" spans="2:5">
      <c r="B49" s="337" t="s">
        <v>882</v>
      </c>
      <c r="C49" s="340">
        <f>SUM($D$40:$G$40)/(-$C$40)</f>
        <v>1.5553029669842815</v>
      </c>
      <c r="D49" s="339" t="s">
        <v>883</v>
      </c>
      <c r="E49" s="327" t="s">
        <v>884</v>
      </c>
    </row>
    <row r="50" spans="2:5">
      <c r="B50" s="337" t="s">
        <v>888</v>
      </c>
      <c r="C50" s="341">
        <f>IF($D$41&gt;=0,ABS($C$41)/$D$40,IF($E$41&gt;=0,1+ABS($D$41)/$E$40,IF($F$41&gt;=0,2+ABS($E$41)/$F$40,IF($G$41&gt;=0,3+ABS($F$41)/$G$40,"未回收"))))</f>
        <v>3.5782019275171661</v>
      </c>
      <c r="D50" s="336" t="s">
        <v>876</v>
      </c>
      <c r="E50" s="343" t="s">
        <v>942</v>
      </c>
    </row>
    <row r="52" spans="2:5">
      <c r="B52" s="360" t="s">
        <v>937</v>
      </c>
      <c r="C52" s="360"/>
      <c r="D52" s="360"/>
      <c r="E52" s="360"/>
    </row>
    <row r="53" spans="2:5">
      <c r="B53" s="360"/>
      <c r="C53" s="360"/>
      <c r="D53" s="360"/>
      <c r="E53" s="360"/>
    </row>
    <row r="54" spans="2:5">
      <c r="B54" s="360"/>
      <c r="C54" s="360"/>
      <c r="D54" s="360"/>
      <c r="E54" s="360"/>
    </row>
    <row r="55" spans="2:5">
      <c r="B55" s="360"/>
      <c r="C55" s="360"/>
      <c r="D55" s="360"/>
      <c r="E55" s="360"/>
    </row>
    <row r="56" spans="2:5">
      <c r="B56" s="360"/>
      <c r="C56" s="360"/>
      <c r="D56" s="360"/>
      <c r="E56" s="360"/>
    </row>
    <row r="57" spans="2:5">
      <c r="B57" s="360"/>
      <c r="C57" s="360"/>
      <c r="D57" s="360"/>
      <c r="E57" s="360"/>
    </row>
    <row r="58" spans="2:5">
      <c r="B58" s="360"/>
      <c r="C58" s="360"/>
      <c r="D58" s="360"/>
      <c r="E58" s="360"/>
    </row>
  </sheetData>
  <mergeCells count="8">
    <mergeCell ref="B31:I31"/>
    <mergeCell ref="B43:I43"/>
    <mergeCell ref="B52:E58"/>
    <mergeCell ref="B2:I2"/>
    <mergeCell ref="B3:I3"/>
    <mergeCell ref="B5:E5"/>
    <mergeCell ref="F5:I5"/>
    <mergeCell ref="B19:I19"/>
  </mergeCells>
  <phoneticPr fontId="43" type="noConversion"/>
  <pageMargins left="0.75" right="0.75" top="1" bottom="1" header="0.511811023622047" footer="0.511811023622047"/>
  <pageSetup orientation="landscape" horizontalDpi="300" verticalDpi="300"/>
  <legacyDrawing r:id="rId1"/>
</worksheet>
</file>

<file path=xl/worksheets/sheet10.xml><?xml version="1.0" encoding="utf-8"?>
<worksheet xmlns="http://schemas.openxmlformats.org/spreadsheetml/2006/main">
  <sheetPr>
    <pageSetUpPr fitToPage="1"/>
  </sheetPr>
  <dimension ref="B2:G40"/>
  <sheetViews>
    <sheetView showGridLines="0" workbookViewId="0" zoomScale="90" zoomScaleNormal="90">
      <pane ySplit="5" topLeftCell="B6" activePane="bottomLeft" state="frozen"/>
      <selection pane="bottomLeft" activeCell="D8" sqref="D8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7" max="7" width="40" customWidth="1"/>
  </cols>
  <sheetData>
    <row r="2" ht="20.25" customHeight="1">
      <c r="B2" s="360" t="inlineStr">
        <is>
          <t>7-双层熔断测算区</t>
        </is>
      </c>
      <c r="C2" s="360"/>
      <c r="D2" s="360"/>
      <c r="E2" s="360"/>
      <c r="F2" s="360"/>
      <c r="G2" s="360"/>
    </row>
    <row r="3">
      <c r="B3" s="361" t="inlineStr">
        <is>
          <t>采用租赁模式单车口径。以“实际到手运价”为主调参入口，自动反推货主支付物流费用，并联动风控结论。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单车月运输吨数</t>
        </is>
      </c>
      <c r="C6" s="318">
        <f>'1-基础参数'!C9*'1-基础参数'!C12</f>
        <v>358.40000000000003</v>
      </c>
      <c r="D6" s="318"/>
      <c r="E6" s="318">
        <f>IF(D6="",C6,D6)</f>
        <v>358.40000000000003</v>
      </c>
      <c r="F6" s="316" t="inlineStr">
        <is>
          <t>吨/月</t>
        </is>
      </c>
      <c r="G6" s="317" t="inlineStr">
        <is>
          <t>载重×月趟数。</t>
        </is>
      </c>
    </row>
    <row r="7">
      <c r="B7" s="314" t="inlineStr">
        <is>
          <t>货主支付物流费用</t>
        </is>
      </c>
      <c r="C7" s="318">
        <f>'3-收益测算'!E6</f>
        <v>75264.0</v>
      </c>
      <c r="D7" s="318"/>
      <c r="E7" s="318">
        <f>IF(D7="",IF(D8="",C7,D8*E6),D7)</f>
        <v>75264.0</v>
      </c>
      <c r="F7" s="316" t="inlineStr">
        <is>
          <t>元/月</t>
        </is>
      </c>
      <c r="G7" s="317" t="inlineStr">
        <is>
          <t>默认引用收入；若调整实际到手运价，则自动反推。</t>
        </is>
      </c>
    </row>
    <row r="8">
      <c r="B8" s="314" t="inlineStr">
        <is>
          <t>实际到手运价</t>
        </is>
      </c>
      <c r="C8" s="318">
        <f>IFERROR(C7/C6,0)</f>
        <v>209.99999999999997</v>
      </c>
      <c r="D8" s="318"/>
      <c r="E8" s="318">
        <f>IF(D8="",IFERROR(E7/E6,0),D8)</f>
        <v>209.99999999999997</v>
      </c>
      <c r="F8" s="316" t="inlineStr">
        <is>
          <t>元/吨趟</t>
        </is>
      </c>
      <c r="G8" s="317" t="inlineStr">
        <is>
          <t>主调参入口；调整后反推货主支付物流费用。</t>
        </is>
      </c>
    </row>
    <row r="10" ht="15.75" customHeight="1">
      <c r="B10" s="358" t="inlineStr">
        <is>
          <t>一、承运侧先扣项目</t>
        </is>
      </c>
      <c r="C10" s="358"/>
      <c r="D10" s="358"/>
      <c r="E10" s="358"/>
      <c r="F10" s="358"/>
      <c r="G10" s="358"/>
    </row>
    <row r="11">
      <c r="B11" s="314" t="inlineStr">
        <is>
          <t>承运司机费用</t>
        </is>
      </c>
      <c r="C11" s="318">
        <f>'3-收益测算'!E13</f>
        <v>20000.0</v>
      </c>
      <c r="D11" s="318"/>
      <c r="E11" s="318">
        <f>IF(D11="",C11,D11)</f>
        <v>20000.0</v>
      </c>
      <c r="F11" s="316" t="inlineStr">
        <is>
          <t>元/月</t>
        </is>
      </c>
      <c r="G11" s="317" t="inlineStr">
        <is>
          <t>承运执行层司机成本。</t>
        </is>
      </c>
    </row>
    <row r="12">
      <c r="B12" s="314" t="inlineStr">
        <is>
          <t>承运管理费用</t>
        </is>
      </c>
      <c r="C12" s="318">
        <f>'3-收益测算'!E15</f>
        <v>1000.0</v>
      </c>
      <c r="D12" s="318"/>
      <c r="E12" s="318">
        <f>IF(D12="",C12,D12)</f>
        <v>1000.0</v>
      </c>
      <c r="F12" s="316" t="inlineStr">
        <is>
          <t>元/月</t>
        </is>
      </c>
      <c r="G12" s="317" t="inlineStr">
        <is>
          <t>承运执行层管理成本。</t>
        </is>
      </c>
    </row>
    <row r="13">
      <c r="B13" s="314" t="inlineStr">
        <is>
          <t>承运毛利</t>
        </is>
      </c>
      <c r="C13" s="318">
        <f>'3.5-资金清分'!E46</f>
        <v>4011.877771929218</v>
      </c>
      <c r="D13" s="318"/>
      <c r="E13" s="318">
        <f>IF(D13="",C13,D13)</f>
        <v>4011.877771929218</v>
      </c>
      <c r="F13" s="316" t="inlineStr">
        <is>
          <t>元/月</t>
        </is>
      </c>
      <c r="G13" s="317" t="inlineStr">
        <is>
          <t>承运物流企业执行层毛利。</t>
        </is>
      </c>
    </row>
    <row r="14">
      <c r="B14" s="314" t="inlineStr">
        <is>
          <t>扣减承运侧后可用金额</t>
        </is>
      </c>
      <c r="C14" s="329">
        <f>E7-E11-E12-E13</f>
        <v>50252.12222807078</v>
      </c>
      <c r="D14" s="318"/>
      <c r="E14" s="329">
        <f>IF(D14="",C14,D14)</f>
        <v>50252.12222807078</v>
      </c>
      <c r="F14" s="316" t="inlineStr">
        <is>
          <t>元/月</t>
        </is>
      </c>
      <c r="G14" s="317" t="inlineStr">
        <is>
          <t>用于覆盖合同物流企业刚性支出。</t>
        </is>
      </c>
    </row>
    <row r="16" ht="15.75" customHeight="1">
      <c r="B16" s="358" t="inlineStr">
        <is>
          <t>二、合同物流企业刚性支出覆盖要求</t>
        </is>
      </c>
      <c r="C16" s="358"/>
      <c r="D16" s="358"/>
      <c r="E16" s="358"/>
      <c r="F16" s="358"/>
      <c r="G16" s="358"/>
    </row>
    <row r="17">
      <c r="B17" s="314" t="inlineStr">
        <is>
          <t>运费垫资利息</t>
        </is>
      </c>
      <c r="C17" s="318">
        <f>'3.5-资金清分'!E12</f>
        <v>340.23452054794524</v>
      </c>
      <c r="D17" s="318"/>
      <c r="E17" s="318">
        <f>IF(D17="",C17,D17)</f>
        <v>340.23452054794524</v>
      </c>
      <c r="F17" s="316" t="inlineStr">
        <is>
          <t>元/月</t>
        </is>
      </c>
      <c r="G17" s="317" t="inlineStr">
        <is>
          <t>合同物流企业资金收益/覆盖要求。</t>
        </is>
      </c>
    </row>
    <row r="18">
      <c r="B18" s="314" t="inlineStr">
        <is>
          <t>车租垫资利息</t>
        </is>
      </c>
      <c r="C18" s="318">
        <f>'3.5-资金清分'!E13</f>
        <v>67.61986301369863</v>
      </c>
      <c r="D18" s="318"/>
      <c r="E18" s="318">
        <f>IF(D18="",C18,D18)</f>
        <v>67.61986301369863</v>
      </c>
      <c r="F18" s="316" t="inlineStr">
        <is>
          <t>元/月</t>
        </is>
      </c>
      <c r="G18" s="317" t="inlineStr">
        <is>
          <t>租赁模式车租账期收益/覆盖要求。</t>
        </is>
      </c>
    </row>
    <row r="19">
      <c r="B19" s="314" t="inlineStr">
        <is>
          <t>车辆租金（牵引车+挂车）</t>
        </is>
      </c>
      <c r="C19" s="318">
        <f>'3.5-资金清分'!E15</f>
        <v>14958.333333333334</v>
      </c>
      <c r="D19" s="318"/>
      <c r="E19" s="318">
        <f>IF(D19="",C19,D19)</f>
        <v>14958.333333333334</v>
      </c>
      <c r="F19" s="316" t="inlineStr">
        <is>
          <t>元/月</t>
        </is>
      </c>
      <c r="G19" s="317" t="inlineStr">
        <is>
          <t>租赁模式下牵引车+挂车租金。</t>
        </is>
      </c>
    </row>
    <row r="20">
      <c r="B20" s="314" t="inlineStr">
        <is>
          <t>保险费用</t>
        </is>
      </c>
      <c r="C20" s="318">
        <f>'3-收益测算'!E11</f>
        <v>0.0</v>
      </c>
      <c r="D20" s="318"/>
      <c r="E20" s="318">
        <f>IF(D20="",C20,D20)</f>
        <v>0.0</v>
      </c>
      <c r="F20" s="316" t="inlineStr">
        <is>
          <t>元/月</t>
        </is>
      </c>
      <c r="G20" s="317" t="inlineStr">
        <is>
          <t>租赁模式默认值为0，保留手工覆盖口。</t>
        </is>
      </c>
    </row>
    <row r="21">
      <c r="B21" s="314" t="inlineStr">
        <is>
          <t>能源费用</t>
        </is>
      </c>
      <c r="C21" s="318">
        <f>'3-收益测算'!E12</f>
        <v>26936.000000000004</v>
      </c>
      <c r="D21" s="318"/>
      <c r="E21" s="318">
        <f>IF(D21="",C21,D21)</f>
        <v>26936.000000000004</v>
      </c>
      <c r="F21" s="316" t="inlineStr">
        <is>
          <t>元/月</t>
        </is>
      </c>
      <c r="G21" s="317" t="inlineStr">
        <is>
          <t>合同物流企业实际承担的能源支出。</t>
        </is>
      </c>
    </row>
    <row r="22">
      <c r="B22" s="314" t="inlineStr">
        <is>
          <t>维保费用</t>
        </is>
      </c>
      <c r="C22" s="318">
        <f>'3-收益测算'!E14</f>
        <v>4368.0</v>
      </c>
      <c r="D22" s="318"/>
      <c r="E22" s="318">
        <f>IF(D22="",C22,D22)</f>
        <v>4368.0</v>
      </c>
      <c r="F22" s="316" t="inlineStr">
        <is>
          <t>元/月</t>
        </is>
      </c>
      <c r="G22" s="317" t="inlineStr">
        <is>
          <t>合同物流企业实际承担的维保支出。</t>
        </is>
      </c>
    </row>
    <row r="23">
      <c r="B23" s="314" t="inlineStr">
        <is>
          <t>刚性支出覆盖要求合计</t>
        </is>
      </c>
      <c r="C23" s="329">
        <f>SUM(E17:E22)</f>
        <v>46670.18771689498</v>
      </c>
      <c r="D23" s="318"/>
      <c r="E23" s="329">
        <f>IF(D23="",C23,D23)</f>
        <v>46670.18771689498</v>
      </c>
      <c r="F23" s="316" t="inlineStr">
        <is>
          <t>元/月</t>
        </is>
      </c>
      <c r="G23" s="317" t="inlineStr">
        <is>
          <t>合同物流企业要求被覆盖的刚性支出与资金收益。</t>
        </is>
      </c>
    </row>
    <row r="24">
      <c r="B24" s="314" t="inlineStr">
        <is>
          <t>合同物流企业熔断线</t>
        </is>
      </c>
      <c r="C24" s="329">
        <f>IFERROR(E23/E6,0)</f>
        <v>130.21815769222928</v>
      </c>
      <c r="D24" s="318"/>
      <c r="E24" s="329">
        <f>IF(D24="",C24,D24)</f>
        <v>130.21815769222928</v>
      </c>
      <c r="F24" s="316" t="inlineStr">
        <is>
          <t>元/吨趟</t>
        </is>
      </c>
      <c r="G24" s="317" t="inlineStr">
        <is>
          <t>刚性支出覆盖要求合计÷单车月运输吨数。</t>
        </is>
      </c>
    </row>
    <row r="25">
      <c r="B25" s="314" t="inlineStr">
        <is>
          <t>货主支付物流费用熔断点</t>
        </is>
      </c>
      <c r="C25" s="329">
        <f>E11+E12+E13+E23</f>
        <v>71682.0654888242</v>
      </c>
      <c r="D25" s="318"/>
      <c r="E25" s="329">
        <f>IF(D25="",C25,D25)</f>
        <v>71682.0654888242</v>
      </c>
      <c r="F25" s="316" t="inlineStr">
        <is>
          <t>元/月</t>
        </is>
      </c>
      <c r="G25" s="317" t="inlineStr">
        <is>
          <t>低于该值时，合同物流企业不能覆盖自身刚性支出。</t>
        </is>
      </c>
    </row>
    <row r="26">
      <c r="B26" s="314" t="inlineStr">
        <is>
          <t>货主支付物流费用熔断点折吨趟价</t>
        </is>
      </c>
      <c r="C26" s="329">
        <f>IFERROR(E25/E6,0)</f>
        <v>200.00576308265678</v>
      </c>
      <c r="D26" s="318"/>
      <c r="E26" s="329">
        <f>IF(D26="",C26,D26)</f>
        <v>200.00576308265678</v>
      </c>
      <c r="F26" s="316" t="inlineStr">
        <is>
          <t>元/吨趟</t>
        </is>
      </c>
      <c r="G26" s="317" t="inlineStr">
        <is>
          <t>用于与实际到手运价直接比较。</t>
        </is>
      </c>
    </row>
    <row r="28" ht="15.75" customHeight="1">
      <c r="B28" s="358" t="inlineStr">
        <is>
          <t>三、风控判断</t>
        </is>
      </c>
      <c r="C28" s="358"/>
      <c r="D28" s="358"/>
      <c r="E28" s="358"/>
      <c r="F28" s="358"/>
      <c r="G28" s="358"/>
    </row>
    <row r="29">
      <c r="B29" s="314" t="inlineStr">
        <is>
          <t>差额/安全边际</t>
        </is>
      </c>
      <c r="C29" s="329">
        <f>E14-E23</f>
        <v>3581.934511175801</v>
      </c>
      <c r="D29" s="318"/>
      <c r="E29" s="329">
        <f>IF(D29="",C29,D29)</f>
        <v>3581.934511175801</v>
      </c>
      <c r="F29" s="316" t="inlineStr">
        <is>
          <t>元/月</t>
        </is>
      </c>
      <c r="G29" s="317" t="inlineStr">
        <is>
          <t>扣减承运侧后用于覆盖合同物流企业刚性支出的余额。</t>
        </is>
      </c>
    </row>
    <row r="30">
      <c r="B30" s="314" t="inlineStr">
        <is>
          <t>风险区间判断</t>
        </is>
      </c>
      <c r="C30" s="315">
        <f>IF(E7&gt;=E25,"正常执行区",IF(E7&gt;=E25-E13,"承运毛利受压区",IF(E7&gt;=E23,"承运执行层自担区","合同物流企业熔断区")))</f>
        <v>正常执行区</v>
      </c>
      <c r="D30" s="317"/>
      <c r="E30" s="315">
        <f>IF(D30="",C30,D30)</f>
        <v>正常执行区</v>
      </c>
      <c r="F30" s="316" t="inlineStr">
        <is>
          <t>文本</t>
        </is>
      </c>
      <c r="G30" s="317" t="inlineStr">
        <is>
          <t>按合同物流企业刚性支出优先、承运司机/管理次之、承运毛利最后的顺序判断。</t>
        </is>
      </c>
    </row>
    <row r="31">
      <c r="B31" s="314" t="inlineStr">
        <is>
          <t>覆盖校验</t>
        </is>
      </c>
      <c r="C31" s="315">
        <f>IF(E7&gt;=E25,"通过","熔断报警")</f>
        <v>通过</v>
      </c>
      <c r="D31" s="317"/>
      <c r="E31" s="315">
        <f>IF(D31="",C31,D31)</f>
        <v>通过</v>
      </c>
      <c r="F31" s="316" t="inlineStr">
        <is>
          <t>文本</t>
        </is>
      </c>
      <c r="G31" s="317" t="inlineStr">
        <is>
          <t>只有不足覆盖合同物流企业熔断点时才触发熔断报警。</t>
        </is>
      </c>
    </row>
    <row r="32">
      <c r="B32" s="314" t="inlineStr">
        <is>
          <t>动作结论</t>
        </is>
      </c>
      <c r="C32" s="315">
        <f>IF(E30="正常执行区","继续执行",IF(E30="承运毛利受压区","承运毛利压缩/归零",IF(E30="承运执行层自担区","承运侧承担执行层缺口","暂停新增并启动价格重谈")))</f>
        <v>继续执行</v>
      </c>
      <c r="D32" s="317"/>
      <c r="E32" s="315">
        <f>IF(D32="",C32,D32)</f>
        <v>继续执行</v>
      </c>
      <c r="F32" s="316" t="inlineStr">
        <is>
          <t>文本</t>
        </is>
      </c>
      <c r="G32" s="317" t="inlineStr">
        <is>
          <t>承运侧缺口由承运物流企业承担；合同物流企业熔断仅在刚性支出不能覆盖时触发。</t>
        </is>
      </c>
    </row>
    <row r="33">
      <c r="B33" s="314" t="inlineStr">
        <is>
          <t>线序校验</t>
        </is>
      </c>
      <c r="C33" s="315">
        <f>IF(E26&lt;E8,"通过","口径待复核")</f>
        <v>通过</v>
      </c>
      <c r="D33" s="317"/>
      <c r="E33" s="315">
        <f>IF(D33="",C33,D33)</f>
        <v>通过</v>
      </c>
      <c r="F33" s="316" t="inlineStr">
        <is>
          <t>文本</t>
        </is>
      </c>
      <c r="G33" s="317" t="inlineStr">
        <is>
          <t>熔断变量折吨趟价应低于当前实际到手运价。</t>
        </is>
      </c>
    </row>
    <row r="35" ht="15.75" customHeight="1">
      <c r="B35" s="358" t="inlineStr">
        <is>
          <t>四、平衡校验</t>
        </is>
      </c>
      <c r="C35" s="358"/>
      <c r="D35" s="358"/>
      <c r="E35" s="358"/>
      <c r="F35" s="358"/>
      <c r="G35" s="358"/>
    </row>
    <row r="36">
      <c r="B36" s="314" t="inlineStr">
        <is>
          <t>平衡关系</t>
        </is>
      </c>
      <c r="C36" s="315" t="inlineStr">
        <is>
          <t>货主支付物流费用 = 承运司机费用 + 承运管理费用 + 承运毛利 + 合同物流企业刚性支出覆盖要求 + 差额/安全边际</t>
        </is>
      </c>
      <c r="D36" s="317"/>
      <c r="E36" s="315" t="inlineStr">
        <is>
          <t>货主支付物流费用熔断点已包含承运毛利，不得再与承运毛利重复相加。</t>
        </is>
      </c>
      <c r="F36" s="316" t="inlineStr">
        <is>
          <t>文本</t>
        </is>
      </c>
      <c r="G36" s="317" t="inlineStr">
        <is>
          <t>用于解释71,682与4,012不能再次相加的原因。</t>
        </is>
      </c>
    </row>
    <row r="37">
      <c r="B37" s="314" t="inlineStr">
        <is>
          <t>勾稽校验差额</t>
        </is>
      </c>
      <c r="C37" s="329">
        <f>E7-(E11+E12+E13+E23+E29)</f>
        <v>0</v>
      </c>
      <c r="D37" s="318"/>
      <c r="E37" s="329">
        <f>IF(D37="",C37,D37)</f>
        <v>0</v>
      </c>
      <c r="F37" s="316" t="inlineStr">
        <is>
          <t>元/月</t>
        </is>
      </c>
      <c r="G37" s="317" t="inlineStr">
        <is>
          <t>应恒等于0。</t>
        </is>
      </c>
    </row>
    <row r="38">
      <c r="B38" s="314" t="inlineStr">
        <is>
          <t>使用方式</t>
        </is>
      </c>
      <c r="C38" s="315" t="inlineStr">
        <is>
          <t>优先改D8</t>
        </is>
      </c>
      <c r="D38" s="317"/>
      <c r="E38" s="315" t="inlineStr">
        <is>
          <t>调整实际到手运价后，收入、风险区间、覆盖校验、动作结论、线序校验会自动联动。</t>
        </is>
      </c>
      <c r="F38" s="316" t="inlineStr">
        <is>
          <t>文本</t>
        </is>
      </c>
      <c r="G38" s="317" t="inlineStr">
        <is>
          <t>如需直接录入收入，可在D7覆盖。</t>
        </is>
      </c>
    </row>
  </sheetData>
  <mergeCells count="6">
    <mergeCell ref="B2:G2"/>
    <mergeCell ref="B3:G3"/>
    <mergeCell ref="B10:G10"/>
    <mergeCell ref="B16:G16"/>
    <mergeCell ref="B28:G28"/>
    <mergeCell ref="B35:G35"/>
  </mergeCells>
  <pageMargins left="0.75" right="0.75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0-财务模型说明</vt:lpstr>
      <vt:lpstr>1-基础参数</vt:lpstr>
      <vt:lpstr>2-单车成本测算</vt:lpstr>
      <vt:lpstr>3-收益测算</vt:lpstr>
      <vt:lpstr>3.5-资金清分</vt:lpstr>
      <vt:lpstr>4-相关方收益分配</vt:lpstr>
      <vt:lpstr>5-资金流向图</vt:lpstr>
      <vt:lpstr>6-敏感性分析</vt:lpstr>
      <vt:lpstr>持车公司财务分析</vt:lpstr>
      <vt:lpstr>7-双层熔断测算区</vt:lpstr>
      <vt:lpstr>持车公司财务分析!Print_Area</vt:lpstr>
      <vt:lpstr>车队规模</vt:lpstr>
      <vt:lpstr>车租账期</vt:lpstr>
      <vt:lpstr>充电服务费</vt:lpstr>
      <vt:lpstr>充电服务费返佣率</vt:lpstr>
      <vt:lpstr>单边公里数</vt:lpstr>
      <vt:lpstr>工作日</vt:lpstr>
      <vt:lpstr>购置车辆数量</vt:lpstr>
      <vt:lpstr>购置车辆占比</vt:lpstr>
      <vt:lpstr>年化利率</vt:lpstr>
      <vt:lpstr>平台信息服务费率</vt:lpstr>
      <vt:lpstr>平台增值信息服务费</vt:lpstr>
      <vt:lpstr>日利率</vt:lpstr>
      <vt:lpstr>日趟数</vt:lpstr>
      <vt:lpstr>双边公里数</vt:lpstr>
      <vt:lpstr>月趟数</vt:lpstr>
      <vt:lpstr>运费账期</vt:lpstr>
      <vt:lpstr>运价</vt:lpstr>
      <vt:lpstr>载重</vt:lpstr>
      <vt:lpstr>租赁车辆数量</vt:lpstr>
      <vt:lpstr>租赁车辆占比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黄海粟</dc:creator>
  <cp:lastModifiedBy>海粟 黄</cp:lastModifiedBy>
  <dcterms:modified xsi:type="dcterms:W3CDTF">2026-04-02T14:37:29Z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2026-01-30T10:11:00Z</dcterms:created>
  <dc:creator>openpyxl</dc:creator>
  <dc:description/>
  <dc:language>en-US</dc:language>
  <cp:lastModifiedBy>ql</cp:lastModifiedBy>
  <dcterms:modified xsi:type="dcterms:W3CDTF">2026-03-26T08:02:13Z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1BD270D03FCD4488BD9E1282FAB506FB_12</vt:lpwstr>
  </property>
  <property fmtid="{D5CDD505-2E9C-101B-9397-08002B2CF9AE}" pid="4" name="KSOProductBuildVer">
    <vt:lpwstr>2052-12.1.0.25225</vt:lpwstr>
  </property>
</Properties>
</file>