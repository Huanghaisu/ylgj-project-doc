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<sst xmlns="http://schemas.openxmlformats.org/spreadsheetml/2006/main" count="1309" uniqueCount="1002">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</sst>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33"/>
  <sheetViews>
    <sheetView showGridLines="0" workbookViewId="0" zoomScale="90" zoomScaleNormal="90">
      <pane ySplit="5" topLeftCell="B6" activePane="bottomLeft" state="frozen"/>
      <selection pane="bottomLeft" activeCell="E20" sqref="E20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38" customWidth="1"/>
  </cols>
  <sheetData>
    <row r="2" ht="20.25" customHeight="1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按单车口径模拟合同物流企业熔断。单位统一为元/吨趟，判断逻辑为“扣减承运侧后是否还能覆盖合同物流企业刚性支出”。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货主支付物流费用</t>
        </is>
      </c>
      <c r="C6" s="318">
        <f>'3-收益测算'!D6</f>
        <v>75264.0</v>
      </c>
      <c r="D6" s="318"/>
      <c r="E6" s="318">
        <f>IF(D6="",C6,D6)</f>
        <v>75264.0</v>
      </c>
      <c r="F6" s="316" t="inlineStr">
        <is>
          <t>元/月</t>
        </is>
      </c>
      <c r="G6" s="317" t="inlineStr">
        <is>
          <t>单车月收入。</t>
        </is>
      </c>
    </row>
    <row r="7">
      <c r="B7" s="314" t="inlineStr">
        <is>
          <t>单车月运输吨数</t>
        </is>
      </c>
      <c r="C7" s="318">
        <f>'1-基础参数'!C9*'1-基础参数'!C12</f>
        <v>358.40000000000003</v>
      </c>
      <c r="D7" s="318"/>
      <c r="E7" s="318">
        <f>IF(D7="",C7,D7)</f>
        <v>358.40000000000003</v>
      </c>
      <c r="F7" s="316" t="inlineStr">
        <is>
          <t>吨/月</t>
        </is>
      </c>
      <c r="G7" s="317" t="inlineStr">
        <is>
          <t>载重×月趟数。</t>
        </is>
      </c>
    </row>
    <row r="8">
      <c r="B8" s="314" t="inlineStr">
        <is>
          <t>实际到手运价</t>
        </is>
      </c>
      <c r="C8" s="318">
        <f>IFERROR(E6/E7,0)</f>
        <v>209.99999999999997</v>
      </c>
      <c r="D8" s="318"/>
      <c r="E8" s="318">
        <f>IF(D8="",C8,D8)</f>
        <v>209.99999999999997</v>
      </c>
      <c r="F8" s="316" t="inlineStr">
        <is>
          <t>元/吨趟</t>
        </is>
      </c>
      <c r="G8" s="317" t="inlineStr">
        <is>
          <t>用于与熔断线比较。</t>
        </is>
      </c>
    </row>
    <row r="10" ht="15.75" customHeight="1">
      <c r="B10" s="358" t="inlineStr">
        <is>
          <t>一、承运侧先扣项目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'3-收益测算'!D13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承运执行层人工。</t>
        </is>
      </c>
    </row>
    <row r="12">
      <c r="B12" s="314" t="inlineStr">
        <is>
          <t>承运管理费用</t>
        </is>
      </c>
      <c r="C12" s="318">
        <f>'3-收益测算'!D15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承运执行层管理。</t>
        </is>
      </c>
    </row>
    <row r="13">
      <c r="B13" s="314" t="inlineStr">
        <is>
          <t>承运毛利</t>
        </is>
      </c>
      <c r="C13" s="318">
        <f>'3.5-资金清分'!D46</f>
        <v>12234.830658630131</v>
      </c>
      <c r="D13" s="318"/>
      <c r="E13" s="318">
        <f>IF(D13="",C13,D13)</f>
        <v>12234.830658630131</v>
      </c>
      <c r="F13" s="316" t="inlineStr">
        <is>
          <t>元/月</t>
        </is>
      </c>
      <c r="G13" s="317" t="inlineStr">
        <is>
          <t>承运物流企业执行层收益。</t>
        </is>
      </c>
    </row>
    <row r="14">
      <c r="B14" s="314" t="inlineStr">
        <is>
          <t>扣减承运侧后可用金额</t>
        </is>
      </c>
      <c r="C14" s="329">
        <f>E6-E11-E12-E13</f>
        <v>42029.16934136987</v>
      </c>
      <c r="D14" s="318"/>
      <c r="E14" s="329">
        <f>IF(D14="",C14,D14)</f>
        <v>42029.16934136987</v>
      </c>
      <c r="F14" s="316" t="inlineStr">
        <is>
          <t>元/月</t>
        </is>
      </c>
      <c r="G14" s="317" t="inlineStr">
        <is>
          <t>用于覆盖合同物流企业刚性支出。</t>
        </is>
      </c>
    </row>
    <row r="16" ht="15.75" customHeight="1">
      <c r="B16" s="358" t="inlineStr">
        <is>
          <t>二、合同物流企业刚性支出</t>
        </is>
      </c>
      <c r="C16" s="358"/>
      <c r="D16" s="358"/>
      <c r="E16" s="358"/>
      <c r="F16" s="358"/>
      <c r="G16" s="358"/>
    </row>
    <row r="17">
      <c r="B17" s="314" t="inlineStr">
        <is>
          <t>垫资利息</t>
        </is>
      </c>
      <c r="C17" s="318">
        <f>'3.5-资金清分'!D12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合同物流企业实际垫资收益/成本口径。</t>
        </is>
      </c>
    </row>
    <row r="18">
      <c r="B18" s="314" t="inlineStr">
        <is>
          <t>车辆租金（牵引车+挂车）</t>
        </is>
      </c>
      <c r="C18" s="318">
        <f>'2-单车成本测算'!H10</f>
        <v>14958.333333333334</v>
      </c>
      <c r="D18" s="318"/>
      <c r="E18" s="318">
        <f>IF(D18="",C18,D18)</f>
        <v>14958.333333333334</v>
      </c>
      <c r="F18" s="316" t="inlineStr">
        <is>
          <t>元/月</t>
        </is>
      </c>
      <c r="G18" s="317" t="inlineStr">
        <is>
          <t>默认引用租赁口径，可按实际车租调整。</t>
        </is>
      </c>
    </row>
    <row r="19">
      <c r="B19" s="314" t="inlineStr">
        <is>
          <t>保险费用</t>
        </is>
      </c>
      <c r="C19" s="318">
        <f>'3-收益测算'!D11</f>
        <v>2208.333333333333</v>
      </c>
      <c r="D19" s="318"/>
      <c r="E19" s="318">
        <f>IF(D19="",C19,D19)</f>
        <v>2208.333333333333</v>
      </c>
      <c r="F19" s="316" t="inlineStr">
        <is>
          <t>元/月</t>
        </is>
      </c>
      <c r="G19" s="317" t="inlineStr">
        <is>
          <t>按单车月度保险口径。</t>
        </is>
      </c>
    </row>
    <row r="20">
      <c r="B20" s="314" t="inlineStr">
        <is>
          <t>能源费用</t>
        </is>
      </c>
      <c r="C20" s="318">
        <f>'3-收益测算'!D12</f>
        <v>26936.000000000004</v>
      </c>
      <c r="D20" s="318"/>
      <c r="E20" s="318">
        <f>IF(D20="",C20,D20)</f>
        <v>26936.000000000004</v>
      </c>
      <c r="F20" s="316" t="inlineStr">
        <is>
          <t>元/月</t>
        </is>
      </c>
      <c r="G20" s="317" t="inlineStr">
        <is>
          <t>合同物流企业实际承担的能源支出。</t>
        </is>
      </c>
    </row>
    <row r="21">
      <c r="B21" s="314" t="inlineStr">
        <is>
          <t>维保费用</t>
        </is>
      </c>
      <c r="C21" s="318">
        <f>'3-收益测算'!D14</f>
        <v>4368.0</v>
      </c>
      <c r="D21" s="318"/>
      <c r="E21" s="318">
        <f>IF(D21="",C21,D21)</f>
        <v>4368.0</v>
      </c>
      <c r="F21" s="316" t="inlineStr">
        <is>
          <t>元/月</t>
        </is>
      </c>
      <c r="G21" s="317" t="inlineStr">
        <is>
          <t>合同物流企业实际承担的维保支出。</t>
        </is>
      </c>
    </row>
    <row r="22">
      <c r="B22" s="314" t="inlineStr">
        <is>
          <t>合同物流企业刚性支出合计</t>
        </is>
      </c>
      <c r="C22" s="329">
        <f>SUM(E17:E21)</f>
        <v>48810.901187214615</v>
      </c>
      <c r="D22" s="318"/>
      <c r="E22" s="329">
        <f>IF(D22="",C22,D22)</f>
        <v>48810.901187214615</v>
      </c>
      <c r="F22" s="316" t="inlineStr">
        <is>
          <t>元/月</t>
        </is>
      </c>
      <c r="G22" s="317" t="inlineStr">
        <is>
          <t>熔断判断的核心覆盖成本。</t>
        </is>
      </c>
    </row>
    <row r="23">
      <c r="B23" s="314" t="inlineStr">
        <is>
          <t>合同物流企业熔断线</t>
        </is>
      </c>
      <c r="C23" s="329">
        <f>IFERROR(E22/E7,0)</f>
        <v>136.19113054468363</v>
      </c>
      <c r="D23" s="318"/>
      <c r="E23" s="329">
        <f>IF(D23="",C23,D23)</f>
        <v>136.19113054468363</v>
      </c>
      <c r="F23" s="316" t="inlineStr">
        <is>
          <t>元/吨趟</t>
        </is>
      </c>
      <c r="G23" s="317" t="inlineStr">
        <is>
          <t>刚性支出合计÷单车月运输吨数。</t>
        </is>
      </c>
    </row>
    <row r="25" ht="15.75" customHeight="1">
      <c r="B25" s="358" t="inlineStr">
        <is>
          <t>三、熔断判断</t>
        </is>
      </c>
      <c r="C25" s="358"/>
      <c r="D25" s="358"/>
      <c r="E25" s="358"/>
      <c r="F25" s="358"/>
      <c r="G25" s="358"/>
    </row>
    <row r="26">
      <c r="B26" s="314" t="inlineStr">
        <is>
          <t>覆盖校验</t>
        </is>
      </c>
      <c r="C26" s="315">
        <f>IF(E14&gt;=E22,"通过","熔断报警")</f>
        <v>熔断报警</v>
      </c>
      <c r="D26" s="317"/>
      <c r="E26" s="315">
        <f>IF(D26="",C26,D26)</f>
        <v>熔断报警</v>
      </c>
      <c r="F26" s="316" t="inlineStr">
        <is>
          <t>文本</t>
        </is>
      </c>
      <c r="G26" s="317" t="inlineStr">
        <is>
          <t>扣减承运侧后可用金额是否足以覆盖刚性支出。</t>
        </is>
      </c>
    </row>
    <row r="27">
      <c r="B27" s="314" t="inlineStr">
        <is>
          <t>动作结论</t>
        </is>
      </c>
      <c r="C27" s="315">
        <f>IF(E26="通过","继续执行","触发熔断预警，暂停新增并重谈价格")</f>
        <v>触发熔断预警，暂停新增并重谈价格</v>
      </c>
      <c r="D27" s="317"/>
      <c r="E27" s="315">
        <f>IF(D27="",C27,D27)</f>
        <v>触发熔断预警，暂停新增并重谈价格</v>
      </c>
      <c r="F27" s="316" t="inlineStr">
        <is>
          <t>文本</t>
        </is>
      </c>
      <c r="G27" s="317" t="inlineStr">
        <is>
          <t>合同物流企业不承担运价下行风险。</t>
        </is>
      </c>
    </row>
    <row r="28">
      <c r="B28" s="314" t="inlineStr">
        <is>
          <t>线序校验</t>
        </is>
      </c>
      <c r="C28" s="315">
        <f>IF(E23&lt;E8,"通过","口径待复核")</f>
        <v>通过</v>
      </c>
      <c r="D28" s="317"/>
      <c r="E28" s="315">
        <f>IF(D28="",C28,D28)</f>
        <v>通过</v>
      </c>
      <c r="F28" s="316" t="inlineStr">
        <is>
          <t>文本</t>
        </is>
      </c>
      <c r="G28" s="317" t="inlineStr">
        <is>
          <t>熔断线应低于当前实际到手运价。</t>
        </is>
      </c>
    </row>
    <row r="30">
      <c r="B30" s="314" t="inlineStr">
        <is>
          <t>说明</t>
        </is>
      </c>
      <c r="C30" s="315" t="inlineStr">
        <is>
          <t>当前副本先锁合同物流企业熔断逻辑。</t>
        </is>
      </c>
      <c r="D30" s="317"/>
      <c r="E30" s="315" t="inlineStr">
        <is>
          <t>承运调节线后续再单独设计。</t>
        </is>
      </c>
      <c r="F30" s="316" t="inlineStr">
        <is>
          <t>文本</t>
        </is>
      </c>
      <c r="G30" s="317" t="inlineStr">
        <is>
          <t>避免把承运风险和合同物流企业刚性支出混算。</t>
        </is>
      </c>
    </row>
    <row r="31">
      <c r="B31" s="314" t="inlineStr">
        <is>
          <t>使用方式</t>
        </is>
      </c>
      <c r="C31" s="315" t="inlineStr">
        <is>
          <t>优先改D列</t>
        </is>
      </c>
      <c r="D31" s="317"/>
      <c r="E31" s="315" t="inlineStr">
        <is>
          <t>按月输入实际承运毛利、车租、能源、维保、保险及结算金额。</t>
        </is>
      </c>
      <c r="F31" s="316" t="inlineStr">
        <is>
          <t>文本</t>
        </is>
      </c>
      <c r="G31" s="317" t="inlineStr">
        <is>
          <t>适合先做单车熔断模拟，再扩展到全项目。</t>
        </is>
      </c>
    </row>
  </sheetData>
  <mergeCells count="5">
    <mergeCell ref="B2:G2"/>
    <mergeCell ref="B3:G3"/>
    <mergeCell ref="B10:G10"/>
    <mergeCell ref="B16:G16"/>
    <mergeCell ref="B25:G25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